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<sst xmlns="http://schemas.openxmlformats.org/spreadsheetml/2006/main" count="2904" uniqueCount="1422">
  <si>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</si>
  <si>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</si>
  <si>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</si>
  <si>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</si>
  <si>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</si>
  <si>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'not_judged'),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</si>
  <si>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</si>
  <si>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</si>
  <si>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</si>
  <si>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</si>
  <si>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</si>
  <si>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</si>
  <si>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</si>
  <si>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</si>
  <si>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</si>
  <si>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</si>
  <si>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</si>
  <si>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</si>
  <si>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</si>
  <si>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</si>
  <si>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</si>
  <si>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'not_judged'), (919, 'Unknown'),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</si>
  <si>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</si>
  <si>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</si>
  <si>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</si>
  <si>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</si>
  <si>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</si>
  <si>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</si>
  <si>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</si>
  <si>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</si>
  <si>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</si>
  <si>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</si>
  <si>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</si>
  <si>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</si>
  <si>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'not_judged'),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</si>
  <si>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</si>
  <si>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</si>
  <si>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</si>
  <si>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</si>
  <si>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</si>
  <si>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</si>
  <si>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</si>
  <si>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</si>
  <si>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</si>
  <si>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</si>
  <si>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'not_judged'),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</si>
  <si>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</si>
  <si>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</si>
  <si>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</si>
  <si>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</si>
  <si>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</si>
  <si>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</si>
  <si>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</si>
  <si>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</si>
  <si>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</si>
  <si>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</si>
  <si>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</si>
  <si>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</si>
  <si>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</si>
  <si>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</si>
  <si>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</si>
  <si>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</si>
  <si>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</si>
  <si>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</si>
  <si>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</si>
  <si>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</si>
  <si>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</si>
  <si>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</si>
  <si>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</si>
  <si>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</si>
  <si>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'not_judged'), (394, 'outstanding'), (341, 'not_judged'), (393, 'not_judged'), (807, 'good'), (354, 'requires improvement'), (880, 'good'), (355, 'good'), (861, 'requires improvement')]</t>
  </si>
  <si>
    <t>blackpool</t>
  </si>
  <si>
    <t>https://files.ofsted.gov.uk/v1/file/50308110</t>
  </si>
  <si>
    <t>not_judged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</si>
  <si>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</si>
  <si>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</si>
  <si>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</si>
  <si>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</si>
  <si>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</si>
  <si>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</si>
  <si>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</si>
  <si>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</si>
  <si>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</si>
  <si>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</si>
  <si>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</si>
  <si>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</si>
  <si>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</si>
  <si>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</si>
  <si>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</si>
  <si>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</si>
  <si>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</si>
  <si>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</si>
  <si>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</si>
  <si>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</si>
  <si>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</si>
  <si>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</si>
  <si>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</si>
  <si>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</si>
  <si>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</si>
  <si>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</si>
  <si>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</si>
  <si>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</si>
  <si>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</si>
  <si>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'Unknown'),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</si>
  <si>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</si>
  <si>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</si>
  <si>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</si>
  <si>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</si>
  <si>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</si>
  <si>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</si>
  <si>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</si>
  <si>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</si>
  <si>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</si>
  <si>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</si>
  <si>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</si>
  <si>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</si>
  <si>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</si>
  <si>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</si>
  <si>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</si>
  <si>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</si>
  <si>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</si>
  <si>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</si>
  <si>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</si>
  <si>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</si>
  <si>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</si>
  <si>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'not_judged'),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</si>
  <si>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</si>
  <si>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</si>
  <si>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</si>
  <si>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</si>
  <si>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</si>
  <si>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</si>
  <si>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</si>
  <si>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</si>
  <si>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</si>
  <si>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</si>
  <si>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'Unknown'), (869, 'good'), (936, 'good'), (873, 'requires improvement'), (867, 'outstanding'), (823, 'good'), (868, 'good'), (358, 'not_judged'),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</si>
  <si>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</si>
  <si>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</si>
  <si>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</si>
  <si>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</si>
  <si>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</si>
  <si>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</si>
  <si>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</si>
  <si>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</si>
  <si>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</si>
  <si>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</si>
  <si>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'not_judged'), (908, 'good'), (392, 'outstanding'), (886, 'good'), (332, 'not_judged'),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</si>
  <si>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</si>
  <si>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</si>
  <si>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</si>
  <si>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</si>
  <si>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</si>
  <si>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</si>
  <si>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</si>
  <si>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</si>
  <si>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</si>
  <si>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</si>
  <si>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</si>
  <si>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</si>
  <si>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</si>
  <si>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</si>
  <si>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</si>
  <si>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</si>
  <si>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</si>
  <si>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</si>
  <si>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</si>
  <si>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'Unknown'),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</si>
  <si>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</si>
  <si>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</si>
  <si>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</si>
  <si>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</si>
  <si>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</si>
  <si>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</si>
  <si>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</si>
  <si>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</si>
  <si>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'Unknown')]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</si>
  <si>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</si>
  <si>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</si>
  <si>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</si>
  <si>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</si>
  <si>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</si>
  <si>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</si>
  <si>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</si>
  <si>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</si>
  <si>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</si>
  <si>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</si>
  <si>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</si>
  <si>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</si>
  <si>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</si>
  <si>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</si>
  <si>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</si>
  <si>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</si>
  <si>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</si>
  <si>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</si>
  <si>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</si>
  <si>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</si>
  <si>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</si>
  <si>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</si>
  <si>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</si>
  <si>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</si>
  <si>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</si>
  <si>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</si>
  <si>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</si>
  <si>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</si>
  <si>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</si>
  <si>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</si>
  <si>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</si>
  <si>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</si>
  <si>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</si>
  <si>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</si>
  <si>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</si>
  <si>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</si>
  <si>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</si>
  <si>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</si>
  <si>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</si>
  <si>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</si>
  <si>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</si>
  <si>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</si>
  <si>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</si>
  <si>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</si>
  <si>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</si>
  <si>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</si>
  <si>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</si>
  <si>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</si>
  <si>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</si>
  <si>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</si>
  <si>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</si>
  <si>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</si>
  <si>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</si>
  <si>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</si>
  <si>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</si>
  <si>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'not_judged'), (370, 'good'), (894, 'outstanding'), (372, 'outstanding'), (925, 'outstanding'), (357, 'inadequate'), (371, 'good'), (813, 'outstanding'), (841, 'outstanding'), (888, 'not_judged')]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</si>
  <si>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</si>
  <si>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</si>
  <si>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</si>
  <si>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</si>
  <si>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</si>
  <si>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</si>
  <si>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</si>
  <si>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</si>
  <si>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</si>
  <si>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'Unknown'), (937, 'requires improvement'), (931, 'good'), (938, 'requires improvement'), (358, 'not_judged'),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</si>
  <si>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</si>
  <si>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</si>
  <si>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</si>
  <si>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</si>
  <si>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</si>
  <si>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</si>
  <si>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</si>
  <si>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</si>
  <si>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</si>
  <si>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</si>
  <si>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'not_judged'),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</si>
  <si>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</si>
  <si>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</si>
  <si>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</si>
  <si>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</si>
  <si>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</si>
  <si>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</si>
  <si>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</si>
  <si>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</si>
  <si>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</si>
  <si>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</si>
  <si>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</si>
  <si>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</si>
  <si>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</si>
  <si>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</si>
  <si>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</si>
  <si>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</si>
  <si>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</si>
  <si>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</si>
  <si>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</si>
  <si>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</si>
  <si>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</si>
  <si>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</si>
  <si>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</si>
  <si>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</si>
  <si>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</si>
  <si>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</si>
  <si>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</si>
  <si>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</si>
  <si>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</si>
  <si>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</si>
  <si>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</si>
  <si>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'not_judged'),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</si>
  <si>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</si>
  <si>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</si>
  <si>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</si>
  <si>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</si>
  <si>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</si>
  <si>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</si>
  <si>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</si>
  <si>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</si>
  <si>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</si>
  <si>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</si>
  <si>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'not_judged'), (384, 'good'), (888, 'not_judged'),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</si>
  <si>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</si>
  <si>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</si>
  <si>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</si>
  <si>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</si>
  <si>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</si>
  <si>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</si>
  <si>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</si>
  <si>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</si>
  <si>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</si>
  <si>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</si>
  <si>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</si>
  <si>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</si>
  <si>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</si>
  <si>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</si>
  <si>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</si>
  <si>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</si>
  <si>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</si>
  <si>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</si>
  <si>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</si>
  <si>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</si>
  <si>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'not_judged'),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</si>
  <si>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</si>
  <si>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</si>
  <si>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</si>
  <si>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</si>
  <si>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</si>
  <si>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</si>
  <si>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</si>
  <si>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</si>
  <si>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</si>
  <si>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'not_judged'),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</si>
  <si>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</si>
  <si>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</si>
  <si>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</si>
  <si>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</si>
  <si>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</si>
  <si>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</si>
  <si>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</si>
  <si>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</si>
  <si>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</si>
  <si>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</si>
  <si>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</si>
  <si>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</si>
  <si>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</si>
  <si>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</si>
  <si>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</si>
  <si>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</si>
  <si>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</si>
  <si>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</si>
  <si>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</si>
  <si>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</si>
  <si>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'not_judged'),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</si>
  <si>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</si>
  <si>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</si>
  <si>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</si>
  <si>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</si>
  <si>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</si>
  <si>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</si>
  <si>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</si>
  <si>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</si>
  <si>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</si>
  <si>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'not_judged'),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</si>
  <si>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</si>
  <si>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</si>
  <si>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</si>
  <si>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</si>
  <si>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</si>
  <si>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</si>
  <si>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</si>
  <si>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</si>
  <si>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</si>
  <si>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'not_judged'),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</si>
  <si>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</si>
  <si>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</si>
  <si>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</si>
  <si>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</si>
  <si>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</si>
  <si>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</si>
  <si>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</si>
  <si>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'not_judged'),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</si>
  <si>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</si>
  <si>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</si>
  <si>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</si>
  <si>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</si>
  <si>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</si>
  <si>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</si>
  <si>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</si>
  <si>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</si>
  <si>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</si>
  <si>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</si>
  <si>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</si>
  <si>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</si>
  <si>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</si>
  <si>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</si>
  <si>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</si>
  <si>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</si>
  <si>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</si>
  <si>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</si>
  <si>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</si>
  <si>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</si>
  <si>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</si>
  <si>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</si>
  <si>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'not_judged'),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</si>
  <si>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</si>
  <si>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</si>
  <si>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</si>
  <si>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</si>
  <si>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</si>
  <si>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</si>
  <si>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</si>
  <si>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</si>
  <si>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</si>
  <si>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</si>
  <si>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'not_judged'), (372, 'outstanding'), (808, 'requires improvement'), (840, 'outstanding'), (807, 'good'), (394, 'outstanding'), (332, 'not_judged'),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</si>
  <si>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</si>
  <si>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</si>
  <si>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</si>
  <si>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</si>
  <si>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</si>
  <si>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</si>
  <si>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</si>
  <si>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</si>
  <si>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</si>
  <si>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</si>
  <si>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</si>
  <si>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</si>
  <si>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</si>
  <si>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</si>
  <si>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</si>
  <si>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</si>
  <si>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</si>
  <si>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</si>
  <si>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</si>
  <si>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</si>
  <si>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</si>
  <si>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</si>
  <si>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</si>
  <si>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</si>
  <si>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</si>
  <si>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</si>
  <si>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</si>
  <si>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</si>
  <si>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</si>
  <si>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</si>
  <si>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</si>
  <si>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</si>
  <si>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</si>
  <si>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</si>
  <si>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</si>
  <si>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</si>
  <si>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</si>
  <si>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'not_judged'), (890, 'not_judged'), (806, 'not_judged'),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</si>
  <si>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</si>
  <si>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</si>
  <si>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</si>
  <si>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</si>
  <si>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</si>
  <si>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</si>
  <si>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</si>
  <si>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</si>
  <si>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'not_judged'), (888, 'not_judged'),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</si>
  <si>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</si>
  <si>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</si>
  <si>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</si>
  <si>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</si>
  <si>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</si>
  <si>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</si>
  <si>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</si>
  <si>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</si>
  <si>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</si>
  <si>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</si>
  <si>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</si>
  <si>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</si>
  <si>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</si>
  <si>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</si>
  <si>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</si>
  <si>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</si>
  <si>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</si>
  <si>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</si>
  <si>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'not_judged')]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</si>
  <si>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</si>
  <si>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</si>
  <si>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</si>
  <si>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</si>
  <si>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</si>
  <si>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</si>
  <si>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</si>
  <si>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</si>
  <si>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</si>
  <si>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</si>
  <si>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'not_judged'),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</si>
  <si>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</si>
  <si>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</si>
  <si>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</si>
  <si>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</si>
  <si>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</si>
  <si>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</si>
  <si>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</si>
  <si>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'not_judged'),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</si>
  <si>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</si>
  <si>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</si>
  <si>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</si>
  <si>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</si>
  <si>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</si>
  <si>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</si>
  <si>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</si>
  <si>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</si>
  <si>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'not_judged'), (840, 'outstanding'), (341, 'not_judged')]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</si>
  <si>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</si>
  <si>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</si>
  <si>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</si>
  <si>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</si>
  <si>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</si>
  <si>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</si>
  <si>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</si>
  <si>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</si>
  <si>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</si>
  <si>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</si>
  <si>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'not_judged'),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</si>
  <si>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</si>
  <si>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</si>
  <si>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</si>
  <si>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</si>
  <si>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</si>
  <si>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</si>
  <si>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</si>
  <si>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</si>
  <si>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</si>
  <si>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'not_judged'),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</si>
  <si>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</si>
  <si>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</si>
  <si>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</si>
  <si>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</si>
  <si>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</si>
  <si>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</si>
  <si>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</si>
  <si>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</si>
  <si>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</si>
  <si>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'not_judged'), (304, 'not_judged'),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</si>
  <si>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</si>
  <si>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</si>
  <si>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</si>
  <si>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</si>
  <si>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</si>
  <si>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</si>
  <si>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'not_judged'),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</si>
  <si>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</si>
  <si>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</si>
  <si>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</si>
  <si>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</si>
  <si>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</si>
  <si>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</si>
  <si>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</si>
  <si>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</si>
  <si>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'not_judged'), (384, 'good'), (884, 'good'), (813, 'outstanding'), (926, 'outstanding'), (935, 'requires improvement'), (332, 'not_judged'), (940, 'not_judged'), (830, 'good'), (933, 'not_judged')]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</si>
  <si>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</si>
  <si>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</si>
  <si>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</si>
  <si>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</si>
  <si>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</si>
  <si>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</si>
  <si>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</si>
  <si>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</si>
  <si>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</si>
  <si>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'not_judged'), (805, 'outstanding'), (806, 'not_judged'), (355, 'good'), (393, 'not_judged'),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</si>
  <si>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</si>
  <si>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</si>
  <si>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</si>
  <si>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</si>
  <si>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</si>
  <si>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</si>
  <si>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</si>
  <si>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'not_judged'),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</si>
  <si>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</si>
  <si>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</si>
  <si>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</si>
  <si>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</si>
  <si>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</si>
  <si>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</si>
  <si>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</si>
  <si>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</si>
  <si>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</si>
  <si>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</si>
  <si>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</si>
  <si>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</si>
  <si>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</si>
  <si>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</si>
  <si>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</si>
  <si>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</si>
  <si>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</si>
  <si>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</si>
  <si>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</si>
  <si>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</si>
  <si>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</si>
  <si>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</si>
  <si>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</si>
  <si>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</si>
  <si>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'not_judged'),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</si>
  <si>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</si>
  <si>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</si>
  <si>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</si>
  <si>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</si>
  <si>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</si>
  <si>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</si>
  <si>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</si>
  <si>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</si>
  <si>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</si>
  <si>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</si>
  <si>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'Unknown'), (358, 'not_judged'),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</si>
  <si>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</si>
  <si>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</si>
  <si>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</si>
  <si>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</si>
  <si>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</si>
  <si>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</si>
  <si>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</si>
  <si>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</si>
  <si>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</si>
  <si>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</si>
  <si>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</si>
  <si>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</si>
  <si>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</si>
  <si>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</si>
  <si>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</si>
  <si>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</si>
  <si>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</si>
  <si>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</si>
  <si>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</si>
  <si>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</si>
  <si>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</si>
  <si>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</si>
  <si>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</si>
  <si>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</si>
  <si>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</si>
  <si>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</si>
  <si>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'not_judged'), (309, 'outstanding'), (310, 'inadequate'), (871, 'not_judged'),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</si>
  <si>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</si>
  <si>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</si>
  <si>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</si>
  <si>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</si>
  <si>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</si>
  <si>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</si>
  <si>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</si>
  <si>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</si>
  <si>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</si>
  <si>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</si>
  <si>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</si>
  <si>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</si>
  <si>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</si>
  <si>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</si>
  <si>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</si>
  <si>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</si>
  <si>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'not_judged'),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</si>
  <si>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</si>
  <si>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</si>
  <si>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</si>
  <si>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</si>
  <si>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</si>
  <si>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</si>
  <si>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</si>
  <si>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</si>
  <si>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</si>
  <si>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</si>
  <si>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</si>
  <si>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</si>
  <si>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</si>
  <si>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</si>
  <si>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</si>
  <si>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</si>
  <si>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</si>
  <si>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</si>
  <si>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</si>
  <si>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</si>
  <si>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</si>
  <si>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</si>
  <si>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</si>
  <si>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</si>
  <si>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</si>
  <si>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</si>
  <si>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'not_judged'),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</si>
  <si>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</si>
  <si>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</si>
  <si>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</si>
  <si>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</si>
  <si>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</si>
  <si>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</si>
  <si>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</si>
  <si>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</si>
  <si>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'not_judged'),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</si>
  <si>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</si>
  <si>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</si>
  <si>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</si>
  <si>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</si>
  <si>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</si>
  <si>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</si>
  <si>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</si>
  <si>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</si>
  <si>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'not_judged'),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</si>
  <si>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</si>
  <si>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</si>
  <si>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</si>
  <si>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</si>
  <si>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</si>
  <si>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</si>
  <si>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</si>
  <si>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</si>
  <si>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'not_judged'),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</si>
  <si>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</si>
  <si>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</si>
  <si>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</si>
  <si>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</si>
  <si>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</si>
  <si>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</si>
  <si>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</si>
  <si>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</si>
  <si>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</si>
  <si>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'not_judged'), (317, 'outstanding'), (320, 'good'), (821, 'good'), (304, 'not_judged'),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</si>
  <si>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</si>
  <si>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</si>
  <si>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</si>
  <si>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</si>
  <si>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</si>
  <si>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</si>
  <si>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</si>
  <si>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</si>
  <si>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</si>
  <si>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</si>
  <si>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</si>
  <si>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</si>
  <si>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</si>
  <si>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</si>
  <si>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</si>
  <si>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</si>
  <si>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</si>
  <si>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</si>
  <si>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</si>
  <si>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</si>
  <si>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</si>
  <si>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</si>
  <si>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</si>
  <si>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</si>
  <si>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</si>
  <si>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</si>
  <si>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</si>
  <si>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</si>
  <si>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</si>
  <si>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</si>
  <si>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</si>
  <si>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</si>
  <si>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</si>
  <si>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</si>
  <si>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</si>
  <si>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'Unknown'),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</si>
  <si>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</si>
  <si>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</si>
  <si>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</si>
  <si>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</si>
  <si>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</si>
  <si>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</si>
  <si>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'not_judged'), (301, 'requires improvement'), (308, 'good'), (856, 'requires improvement'), (309, 'outstanding'), (821, 'good'), (307, 'good'), (313, 'good'), (352, 'outstanding'), (871, 'not_judged')]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</si>
  <si>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</si>
  <si>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</si>
  <si>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</si>
  <si>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</si>
  <si>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</si>
  <si>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</si>
  <si>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</si>
  <si>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'not_judged'),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</si>
  <si>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</si>
  <si>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</si>
  <si>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</si>
  <si>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</si>
  <si>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</si>
  <si>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</si>
  <si>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</si>
  <si>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'not_judged'), (825, 'requires improvement'), (919, 'Unknown'),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</si>
  <si>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</si>
  <si>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</si>
  <si>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</si>
  <si>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</si>
  <si>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</si>
  <si>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</si>
  <si>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</si>
  <si>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</si>
  <si>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</si>
  <si>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</si>
  <si>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</si>
  <si>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</si>
  <si>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</si>
  <si>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'Unknown'),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</si>
  <si>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</si>
  <si>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</si>
  <si>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</si>
  <si>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</si>
  <si>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</si>
  <si>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</si>
  <si>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</si>
  <si>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'not_judged')]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</si>
  <si>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</si>
  <si>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</si>
  <si>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</si>
  <si>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</si>
  <si>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</si>
  <si>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</si>
  <si>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</si>
  <si>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</si>
  <si>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</si>
  <si>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</si>
  <si>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</si>
  <si>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</si>
  <si>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</si>
  <si>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</si>
  <si>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</si>
  <si>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</si>
  <si>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</si>
  <si>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</si>
  <si>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</si>
  <si>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</si>
  <si>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</si>
  <si>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</si>
  <si>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</si>
  <si>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</si>
  <si>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</si>
  <si>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</si>
  <si>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</si>
  <si>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</si>
  <si>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</si>
  <si>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</si>
  <si>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</si>
  <si>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</si>
  <si>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'not_judged'),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</si>
  <si>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</si>
  <si>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</si>
  <si>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</si>
  <si>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</si>
  <si>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</si>
  <si>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</si>
  <si>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</si>
  <si>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</si>
  <si>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'not_judged'),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</si>
  <si>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</si>
  <si>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</si>
  <si>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</si>
  <si>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</si>
  <si>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</si>
  <si>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</si>
  <si>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</si>
  <si>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</si>
  <si>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</si>
  <si>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</si>
  <si>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'not_judged'),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</si>
  <si>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</si>
  <si>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</si>
  <si>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</si>
  <si>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</si>
  <si>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</si>
  <si>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</si>
  <si>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</si>
  <si>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</si>
  <si>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</si>
  <si>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'not_judged'), (805, 'outstanding'), (861, 'requires improvement'), (354, 'requires improvement'), (391, 'good'), (336, 'good'), (335, 'outstanding'), (393, 'not_judged'), (341, 'not_judged'),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</si>
  <si>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</si>
  <si>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</si>
  <si>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</si>
  <si>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</si>
  <si>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</si>
  <si>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</si>
  <si>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</si>
  <si>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'Unknown'),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</si>
  <si>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</si>
  <si>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</si>
  <si>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</si>
  <si>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</si>
  <si>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</si>
  <si>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</si>
  <si>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</si>
  <si>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</si>
  <si>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</si>
  <si>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'not_judged'), (851, 'not_judged'), (892, 'inadequate'), (383, 'outstanding'), (330, 'good'), (852, 'good'), (352, 'outstanding'), (890, 'not_judged')]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</si>
  <si>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</si>
  <si>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</si>
  <si>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</si>
  <si>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</si>
  <si>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</si>
  <si>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</si>
  <si>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</si>
  <si>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</si>
  <si>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</si>
  <si>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'not_judged'),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</si>
  <si>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</si>
  <si>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</si>
  <si>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</si>
  <si>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</si>
  <si>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</si>
  <si>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</si>
  <si>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</si>
  <si>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</si>
  <si>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</si>
  <si>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</si>
  <si>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</si>
  <si>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</si>
  <si>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</si>
  <si>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</si>
  <si>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</si>
  <si>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</si>
  <si>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</si>
  <si>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</si>
  <si>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'not_judged'), (332, 'not_judged'), (942, 'good'), (372, 'outstanding'), (894, 'outstanding'), (888, 'not_judged')]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</si>
  <si>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</si>
  <si>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</si>
  <si>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</si>
  <si>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</si>
  <si>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</si>
  <si>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</si>
  <si>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</si>
  <si>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</si>
  <si>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</si>
  <si>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'not_judged'), (935, 'requires improvement'), (925, 'outstanding'), (933, 'not_judged'),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</si>
  <si>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</si>
  <si>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</si>
  <si>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</si>
  <si>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</si>
  <si>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</si>
  <si>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</si>
  <si>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</si>
  <si>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</si>
  <si>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</si>
  <si>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</si>
  <si>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</si>
  <si>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</si>
  <si>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</si>
  <si>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</si>
  <si>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</si>
  <si>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</si>
  <si>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</si>
  <si>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'not_judged'),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</si>
  <si>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</si>
  <si>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</si>
  <si>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</si>
  <si>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</si>
  <si>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</si>
  <si>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</si>
  <si>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'not_judged')]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</si>
  <si>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</si>
  <si>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</si>
  <si>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</si>
  <si>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</si>
  <si>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</si>
  <si>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</si>
  <si>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</si>
  <si>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</si>
  <si>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</si>
  <si>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</si>
  <si>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'not_judged'),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</si>
  <si>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</si>
  <si>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</si>
  <si>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</si>
  <si>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</si>
  <si>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</si>
  <si>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</si>
  <si>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</si>
  <si>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</si>
  <si>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'not_judged'),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</si>
  <si>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</si>
  <si>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</si>
  <si>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</si>
  <si>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</si>
  <si>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</si>
  <si>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</si>
  <si>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</si>
  <si>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'not_judged'), (886, 'good'), (926, 'outstanding'), (937, 'requires improvement'), (855, 'outstanding'), (802, 'requires improvement'), (860, 'requires improvement'), (888, 'not_judged')]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</si>
  <si>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</si>
  <si>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</si>
  <si>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</si>
  <si>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</si>
  <si>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</si>
  <si>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</si>
  <si>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</si>
  <si>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</si>
  <si>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</si>
  <si>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</si>
  <si>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</si>
  <si>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</si>
  <si>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</si>
  <si>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'Unknown'),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</si>
  <si>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</si>
  <si>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</si>
  <si>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</si>
  <si>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</si>
  <si>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</si>
  <si>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</si>
  <si>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</si>
  <si>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</si>
  <si>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</si>
  <si>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</si>
  <si>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</si>
  <si>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</si>
  <si>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</si>
  <si>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</si>
  <si>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</si>
  <si>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</si>
  <si>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</si>
  <si>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</si>
  <si>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</si>
  <si>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'not_judged'),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</si>
  <si>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</si>
  <si>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</si>
  <si>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</si>
  <si>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</si>
  <si>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</si>
  <si>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</si>
  <si>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</si>
  <si>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</si>
  <si>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</si>
  <si>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</si>
  <si>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</si>
  <si>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</si>
  <si>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</si>
  <si>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</si>
  <si>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</si>
  <si>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</si>
  <si>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</si>
  <si>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</si>
  <si>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</si>
  <si>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</si>
  <si>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</si>
  <si>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</si>
  <si>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</si>
  <si>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</si>
  <si>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</si>
  <si>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</si>
  <si>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'not_judged'),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</si>
  <si>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</si>
  <si>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</si>
  <si>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</si>
  <si>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</si>
  <si>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</si>
  <si>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</si>
  <si>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</si>
  <si>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</si>
  <si>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</si>
  <si>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</si>
  <si>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</si>
  <si>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</si>
  <si>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</si>
  <si>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</si>
  <si>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</si>
  <si>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</si>
  <si>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</si>
  <si>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'not_judged'),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</si>
  <si>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</si>
  <si>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</si>
  <si>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</si>
  <si>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</si>
  <si>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</si>
  <si>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</si>
  <si>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</si>
  <si>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</si>
  <si>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</si>
  <si>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</si>
  <si>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</si>
  <si>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</si>
  <si>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</si>
  <si>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</si>
  <si>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'Unknown'), (305, 'outstanding'), (800, 'good'), (868, 'good'), (358, 'not_judged'),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</si>
  <si>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</si>
  <si>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</si>
  <si>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</si>
  <si>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</si>
  <si>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</si>
  <si>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</si>
  <si>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'not_judged'), (919, 'Unknown'),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</si>
  <si>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</si>
  <si>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</si>
  <si>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</si>
  <si>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</si>
  <si>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</si>
  <si>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</si>
  <si>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</si>
  <si>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</si>
  <si>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</si>
  <si>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</si>
  <si>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</si>
  <si>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</si>
  <si>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</si>
  <si>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</si>
  <si>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</si>
  <si>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</si>
  <si>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'not_judged'), (391, 'good'), (390, 'good'), (350, 'good'), (393, 'not_judged'),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</si>
  <si>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</si>
  <si>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</si>
  <si>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</si>
  <si>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</si>
  <si>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</si>
  <si>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</si>
  <si>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</si>
  <si>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</si>
  <si>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'not_judged'),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</si>
  <si>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</si>
  <si>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</si>
  <si>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</si>
  <si>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</si>
  <si>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</si>
  <si>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</si>
  <si>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</si>
  <si>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</si>
  <si>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</si>
  <si>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'not_judged'),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</si>
  <si>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</si>
  <si>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</si>
  <si>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</si>
  <si>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</si>
  <si>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</si>
  <si>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</si>
  <si>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</si>
  <si>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'not_judged'),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</si>
  <si>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</si>
  <si>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</si>
  <si>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</si>
  <si>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</si>
  <si>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</si>
  <si>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</si>
  <si>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</si>
  <si>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</si>
  <si>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'not_judged'),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</si>
  <si>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</si>
  <si>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</si>
  <si>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</si>
  <si>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</si>
  <si>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</si>
  <si>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</si>
  <si>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'not_judged'),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</si>
  <si>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</si>
  <si>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</si>
  <si>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</si>
  <si>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</si>
  <si>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</si>
  <si>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</si>
  <si>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'Unknown')]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</si>
  <si>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</si>
  <si>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</si>
  <si>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</si>
  <si>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</si>
  <si>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</si>
  <si>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</si>
  <si>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</si>
  <si>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</si>
  <si>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</si>
  <si>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</si>
  <si>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</si>
  <si>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</si>
  <si>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</si>
  <si>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</si>
  <si>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</si>
  <si>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</si>
  <si>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</si>
  <si>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</si>
  <si>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</si>
  <si>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</si>
  <si>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'not_judged'),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</si>
  <si>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</si>
  <si>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</si>
  <si>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</si>
  <si>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</si>
  <si>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</si>
  <si>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</si>
  <si>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</si>
  <si>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</si>
  <si>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</si>
  <si>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'not_judged'),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</si>
  <si>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</si>
  <si>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</si>
  <si>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</si>
  <si>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</si>
  <si>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</si>
  <si>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</si>
  <si>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</si>
  <si>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</si>
  <si>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</si>
  <si>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'not_judged'),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</si>
  <si>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</si>
  <si>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</si>
  <si>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</si>
  <si>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</si>
  <si>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</si>
  <si>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</si>
  <si>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</si>
  <si>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</si>
  <si>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</si>
  <si>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</si>
  <si>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</si>
  <si>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</si>
  <si>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</si>
  <si>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'not_judged'), (830, 'good'), (877, 'good'), (891, 'good'), (943, 'good'), (888, 'not_judged')]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</si>
  <si>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</si>
  <si>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</si>
  <si>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</si>
  <si>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</si>
  <si>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</si>
  <si>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</si>
  <si>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'not_judged'), (896, 'requires improvement'), (916, 'good'), (919, 'Unknown'),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</si>
  <si>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</si>
  <si>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</si>
  <si>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</si>
  <si>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</si>
  <si>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</si>
  <si>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</si>
  <si>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</si>
  <si>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'not_judged'), (888, 'not_judged'),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</si>
  <si>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</si>
  <si>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</si>
  <si>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</si>
  <si>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</si>
  <si>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</si>
  <si>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</si>
  <si>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</si>
  <si>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</si>
  <si>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</si>
  <si>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</si>
  <si>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</si>
  <si>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</si>
  <si>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</si>
  <si>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</si>
  <si>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</si>
  <si>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</si>
  <si>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</si>
  <si>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'not_judged'), (926, 'outstanding'), (830, 'good'), (891, 'good'), (878, 'inadequate'), (881, 'outstanding'), (886, 'good'), (838, 'outstanding'), (925, 'outstanding'), (940, 'not_judged')]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</si>
  <si>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</si>
  <si>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</si>
  <si>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</si>
  <si>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</si>
  <si>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</si>
  <si>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</si>
  <si>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</si>
  <si>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'not_judged'),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</si>
  <si>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</si>
  <si>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</si>
  <si>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</si>
  <si>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</si>
  <si>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</si>
  <si>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</si>
  <si>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</si>
  <si>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'not_judged'), (919, 'Unknown'),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</si>
  <si>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</si>
  <si>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</si>
  <si>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</si>
  <si>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</si>
  <si>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</si>
  <si>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</si>
  <si>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'not_judged'), (883, 'outstanding'), (303, 'outstanding'), (822, 'requires improvement'), (941, 'not_judged'),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</si>
  <si>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</si>
  <si>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</si>
  <si>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</si>
  <si>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</si>
  <si>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</si>
  <si>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</si>
  <si>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'not_judged'),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</si>
  <si>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</si>
  <si>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</si>
  <si>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</si>
  <si>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</si>
  <si>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</si>
  <si>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</si>
  <si>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</si>
  <si>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'not_judged'),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</si>
  <si>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</si>
  <si>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</si>
  <si>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</si>
  <si>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</si>
  <si>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</si>
  <si>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</si>
  <si>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</si>
  <si>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'not_judged'), (822, 'requires improvement'), (941, 'not_judged'), (332, 'not_judged'),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</si>
  <si>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</si>
  <si>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</si>
  <si>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</si>
  <si>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</si>
  <si>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</si>
  <si>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</si>
  <si>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</si>
  <si>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</si>
  <si>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</si>
  <si>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</si>
  <si>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</si>
  <si>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</si>
  <si>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</si>
  <si>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</si>
  <si>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</si>
  <si>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</si>
  <si>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'Unknown'),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</si>
  <si>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</si>
  <si>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</si>
  <si>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</si>
  <si>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</si>
  <si>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</si>
  <si>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</si>
  <si>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</si>
  <si>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</si>
  <si>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</si>
  <si>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</si>
  <si>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</si>
  <si>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</si>
  <si>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</si>
  <si>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</si>
  <si>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</si>
  <si>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</si>
  <si>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</si>
  <si>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</si>
  <si>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</si>
  <si>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</si>
  <si>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</si>
  <si>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</si>
  <si>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</si>
  <si>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</si>
  <si>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</si>
  <si>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</si>
  <si>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</si>
  <si>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</si>
  <si>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</si>
  <si>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</si>
  <si>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</si>
  <si>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</si>
  <si>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</si>
  <si>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'Unknown'),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</si>
  <si>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</si>
  <si>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</si>
  <si>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</si>
  <si>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</si>
  <si>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</si>
  <si>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</si>
  <si>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</si>
  <si>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</si>
  <si>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</si>
  <si>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'not_judged'), (937, 'requires improvement'), (866, 'inadequate'), (933, 'not_judged'),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</si>
  <si>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</si>
  <si>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</si>
  <si>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</si>
  <si>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</si>
  <si>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</si>
  <si>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</si>
  <si>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'Unknown'),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</si>
  <si>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</si>
  <si>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</si>
  <si>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</si>
  <si>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</si>
  <si>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</si>
  <si>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</si>
  <si>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'not_judged'),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</si>
  <si>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</si>
  <si>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</si>
  <si>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</si>
  <si>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</si>
  <si>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</si>
  <si>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</si>
  <si>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'not_judged'), (925, 'outstanding'), (343, 'good'), (877, 'good'), (860, 'requires improvement'), (332, 'not_judged'),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</si>
  <si>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</si>
  <si>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</si>
  <si>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</si>
  <si>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</si>
  <si>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</si>
  <si>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</si>
  <si>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</si>
  <si>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</si>
  <si>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</si>
  <si>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</si>
  <si>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</si>
  <si>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</si>
  <si>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</si>
  <si>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</si>
  <si>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</si>
  <si>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</si>
  <si>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</si>
  <si>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</si>
  <si>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</si>
  <si>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'not_judged'), (351, 'requires improvement'), (393, 'not_judged')]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</si>
  <si>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</si>
  <si>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</si>
  <si>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</si>
  <si>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</si>
  <si>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</si>
  <si>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</si>
  <si>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</si>
  <si>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</si>
  <si>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'not_judged'), (318, 'outstanding'), (919, 'Unknown'),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</si>
  <si>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</si>
  <si>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</si>
  <si>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</si>
  <si>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</si>
  <si>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</si>
  <si>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</si>
  <si>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'not_judged'),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</si>
  <si>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</si>
  <si>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</si>
  <si>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</si>
  <si>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</si>
  <si>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</si>
  <si>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</si>
  <si>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</si>
  <si>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</si>
  <si>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'not_judged'),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</si>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</sst>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35617" TargetMode="External"/><Relationship Id="rId45" Type="http://schemas.openxmlformats.org/officeDocument/2006/relationships/hyperlink" Target="https://files.ofsted.gov.uk/v1/file/50294428" TargetMode="External"/><Relationship Id="rId46" Type="http://schemas.openxmlformats.org/officeDocument/2006/relationships/hyperlink" Target="https://files.ofsted.gov.uk/v1/file/50301678" TargetMode="External"/><Relationship Id="rId47" Type="http://schemas.openxmlformats.org/officeDocument/2006/relationships/hyperlink" Target="https://files.ofsted.gov.uk/v1/file/50255618" TargetMode="External"/><Relationship Id="rId48" Type="http://schemas.openxmlformats.org/officeDocument/2006/relationships/hyperlink" Target="https://files.ofsted.gov.uk/v1/file/50267008" TargetMode="External"/><Relationship Id="rId49" Type="http://schemas.openxmlformats.org/officeDocument/2006/relationships/hyperlink" Target="https://files.ofsted.gov.uk/v1/file/50309857" TargetMode="External"/><Relationship Id="rId50" Type="http://schemas.openxmlformats.org/officeDocument/2006/relationships/hyperlink" Target="https://files.ofsted.gov.uk/v1/file/50284438" TargetMode="External"/><Relationship Id="rId51" Type="http://schemas.openxmlformats.org/officeDocument/2006/relationships/hyperlink" Target="https://files.ofsted.gov.uk/v1/file/50267800" TargetMode="External"/><Relationship Id="rId52" Type="http://schemas.openxmlformats.org/officeDocument/2006/relationships/hyperlink" Target="https://files.ofsted.gov.uk/v1/file/50252253" TargetMode="External"/><Relationship Id="rId53" Type="http://schemas.openxmlformats.org/officeDocument/2006/relationships/hyperlink" Target="https://files.ofsted.gov.uk/v1/file/50219720" TargetMode="External"/><Relationship Id="rId54" Type="http://schemas.openxmlformats.org/officeDocument/2006/relationships/hyperlink" Target="https://files.ofsted.gov.uk/v1/file/50306784" TargetMode="External"/><Relationship Id="rId55" Type="http://schemas.openxmlformats.org/officeDocument/2006/relationships/hyperlink" Target="https://files.ofsted.gov.uk/v1/file/50227183" TargetMode="External"/><Relationship Id="rId56" Type="http://schemas.openxmlformats.org/officeDocument/2006/relationships/hyperlink" Target="https://files.ofsted.gov.uk/v1/file/50253182" TargetMode="External"/><Relationship Id="rId57" Type="http://schemas.openxmlformats.org/officeDocument/2006/relationships/hyperlink" Target="https://files.ofsted.gov.uk/v1/file/50212243" TargetMode="External"/><Relationship Id="rId58" Type="http://schemas.openxmlformats.org/officeDocument/2006/relationships/hyperlink" Target="https://files.ofsted.gov.uk/v1/file/50304386" TargetMode="External"/><Relationship Id="rId59" Type="http://schemas.openxmlformats.org/officeDocument/2006/relationships/hyperlink" Target="https://files.ofsted.gov.uk/v1/file/50237004" TargetMode="External"/><Relationship Id="rId60" Type="http://schemas.openxmlformats.org/officeDocument/2006/relationships/hyperlink" Target="https://files.ofsted.gov.uk/v1/file/50274369" TargetMode="External"/><Relationship Id="rId61" Type="http://schemas.openxmlformats.org/officeDocument/2006/relationships/hyperlink" Target="https://files.ofsted.gov.uk/v1/file/50263391" TargetMode="External"/><Relationship Id="rId62" Type="http://schemas.openxmlformats.org/officeDocument/2006/relationships/hyperlink" Target="https://files.ofsted.gov.uk/v1/file/50252258" TargetMode="External"/><Relationship Id="rId63" Type="http://schemas.openxmlformats.org/officeDocument/2006/relationships/hyperlink" Target="https://files.ofsted.gov.uk/v1/file/50256007" TargetMode="External"/><Relationship Id="rId64" Type="http://schemas.openxmlformats.org/officeDocument/2006/relationships/hyperlink" Target="https://files.ofsted.gov.uk/v1/file/50252576" TargetMode="External"/><Relationship Id="rId65" Type="http://schemas.openxmlformats.org/officeDocument/2006/relationships/hyperlink" Target="https://files.ofsted.gov.uk/v1/file/50255165" TargetMode="External"/><Relationship Id="rId66" Type="http://schemas.openxmlformats.org/officeDocument/2006/relationships/hyperlink" Target="https://files.ofsted.gov.uk/v1/file/50247205" TargetMode="External"/><Relationship Id="rId67" Type="http://schemas.openxmlformats.org/officeDocument/2006/relationships/hyperlink" Target="https://files.ofsted.gov.uk/v1/file/50295650" TargetMode="External"/><Relationship Id="rId68" Type="http://schemas.openxmlformats.org/officeDocument/2006/relationships/hyperlink" Target="https://files.ofsted.gov.uk/v1/file/50270419" TargetMode="External"/><Relationship Id="rId69" Type="http://schemas.openxmlformats.org/officeDocument/2006/relationships/hyperlink" Target="https://files.ofsted.gov.uk/v1/file/50239788" TargetMode="External"/><Relationship Id="rId70" Type="http://schemas.openxmlformats.org/officeDocument/2006/relationships/hyperlink" Target="https://files.ofsted.gov.uk/v1/file/50233295" TargetMode="External"/><Relationship Id="rId71" Type="http://schemas.openxmlformats.org/officeDocument/2006/relationships/hyperlink" Target="https://files.ofsted.gov.uk/v1/file/50234334" TargetMode="External"/><Relationship Id="rId72" Type="http://schemas.openxmlformats.org/officeDocument/2006/relationships/hyperlink" Target="https://files.ofsted.gov.uk/v1/file/50267801" TargetMode="External"/><Relationship Id="rId73" Type="http://schemas.openxmlformats.org/officeDocument/2006/relationships/hyperlink" Target="https://files.ofsted.gov.uk/v1/file/50296623" TargetMode="External"/><Relationship Id="rId74" Type="http://schemas.openxmlformats.org/officeDocument/2006/relationships/hyperlink" Target="https://files.ofsted.gov.uk/v1/file/50238709" TargetMode="External"/><Relationship Id="rId75" Type="http://schemas.openxmlformats.org/officeDocument/2006/relationships/hyperlink" Target="https://files.ofsted.gov.uk/v1/file/50285309" TargetMode="External"/><Relationship Id="rId76" Type="http://schemas.openxmlformats.org/officeDocument/2006/relationships/hyperlink" Target="https://files.ofsted.gov.uk/v1/file/50293404" TargetMode="External"/><Relationship Id="rId77" Type="http://schemas.openxmlformats.org/officeDocument/2006/relationships/hyperlink" Target="https://files.ofsted.gov.uk/v1/file/50253184" TargetMode="External"/><Relationship Id="rId78" Type="http://schemas.openxmlformats.org/officeDocument/2006/relationships/hyperlink" Target="https://files.ofsted.gov.uk/v1/file/50284336" TargetMode="External"/><Relationship Id="rId79" Type="http://schemas.openxmlformats.org/officeDocument/2006/relationships/hyperlink" Target="https://files.ofsted.gov.uk/v1/file/50301679" TargetMode="External"/><Relationship Id="rId80" Type="http://schemas.openxmlformats.org/officeDocument/2006/relationships/hyperlink" Target="https://files.ofsted.gov.uk/v1/file/50283346" TargetMode="External"/><Relationship Id="rId81" Type="http://schemas.openxmlformats.org/officeDocument/2006/relationships/hyperlink" Target="https://files.ofsted.gov.uk/v1/file/50266090" TargetMode="External"/><Relationship Id="rId82" Type="http://schemas.openxmlformats.org/officeDocument/2006/relationships/hyperlink" Target="https://files.ofsted.gov.uk/v1/file/50255164" TargetMode="External"/><Relationship Id="rId83" Type="http://schemas.openxmlformats.org/officeDocument/2006/relationships/hyperlink" Target="https://files.ofsted.gov.uk/v1/file/50301929" TargetMode="External"/><Relationship Id="rId84" Type="http://schemas.openxmlformats.org/officeDocument/2006/relationships/hyperlink" Target="https://files.ofsted.gov.uk/v1/file/50266091" TargetMode="External"/><Relationship Id="rId85" Type="http://schemas.openxmlformats.org/officeDocument/2006/relationships/hyperlink" Target="https://files.ofsted.gov.uk/v1/file/50296961" TargetMode="External"/><Relationship Id="rId86" Type="http://schemas.openxmlformats.org/officeDocument/2006/relationships/hyperlink" Target="https://files.ofsted.gov.uk/v1/file/50290914" TargetMode="External"/><Relationship Id="rId87" Type="http://schemas.openxmlformats.org/officeDocument/2006/relationships/hyperlink" Target="https://files.ofsted.gov.uk/v1/file/50227723" TargetMode="External"/><Relationship Id="rId88" Type="http://schemas.openxmlformats.org/officeDocument/2006/relationships/hyperlink" Target="https://files.ofsted.gov.uk/v1/file/50308109" TargetMode="External"/><Relationship Id="rId89" Type="http://schemas.openxmlformats.org/officeDocument/2006/relationships/hyperlink" Target="https://files.ofsted.gov.uk/v1/file/50264642" TargetMode="External"/><Relationship Id="rId90" Type="http://schemas.openxmlformats.org/officeDocument/2006/relationships/hyperlink" Target="https://files.ofsted.gov.uk/v1/file/50280258" TargetMode="External"/><Relationship Id="rId91" Type="http://schemas.openxmlformats.org/officeDocument/2006/relationships/hyperlink" Target="https://files.ofsted.gov.uk/v1/file/50301680" TargetMode="External"/><Relationship Id="rId92" Type="http://schemas.openxmlformats.org/officeDocument/2006/relationships/hyperlink" Target="https://files.ofsted.gov.uk/v1/file/50285393" TargetMode="External"/><Relationship Id="rId93" Type="http://schemas.openxmlformats.org/officeDocument/2006/relationships/hyperlink" Target="https://files.ofsted.gov.uk/v1/file/50300420" TargetMode="External"/><Relationship Id="rId94" Type="http://schemas.openxmlformats.org/officeDocument/2006/relationships/hyperlink" Target="https://files.ofsted.gov.uk/v1/file/50306548" TargetMode="External"/><Relationship Id="rId95" Type="http://schemas.openxmlformats.org/officeDocument/2006/relationships/hyperlink" Target="https://files.ofsted.gov.uk/v1/file/50216275" TargetMode="External"/><Relationship Id="rId96" Type="http://schemas.openxmlformats.org/officeDocument/2006/relationships/hyperlink" Target="https://files.ofsted.gov.uk/v1/file/50266092" TargetMode="External"/><Relationship Id="rId97" Type="http://schemas.openxmlformats.org/officeDocument/2006/relationships/hyperlink" Target="https://files.ofsted.gov.uk/v1/file/50226213" TargetMode="External"/><Relationship Id="rId98" Type="http://schemas.openxmlformats.org/officeDocument/2006/relationships/hyperlink" Target="https://files.ofsted.gov.uk/v1/file/50252256" TargetMode="External"/><Relationship Id="rId99" Type="http://schemas.openxmlformats.org/officeDocument/2006/relationships/hyperlink" Target="https://files.ofsted.gov.uk/v1/file/50192198" TargetMode="External"/><Relationship Id="rId100" Type="http://schemas.openxmlformats.org/officeDocument/2006/relationships/hyperlink" Target="https://files.ofsted.gov.uk/v1/file/50252254" TargetMode="External"/><Relationship Id="rId101" Type="http://schemas.openxmlformats.org/officeDocument/2006/relationships/hyperlink" Target="https://files.ofsted.gov.uk/v1/file/50252252" TargetMode="External"/><Relationship Id="rId102" Type="http://schemas.openxmlformats.org/officeDocument/2006/relationships/hyperlink" Target="https://files.ofsted.gov.uk/v1/file/50243682" TargetMode="External"/><Relationship Id="rId103" Type="http://schemas.openxmlformats.org/officeDocument/2006/relationships/hyperlink" Target="https://files.ofsted.gov.uk/v1/file/50238583" TargetMode="External"/><Relationship Id="rId104" Type="http://schemas.openxmlformats.org/officeDocument/2006/relationships/hyperlink" Target="https://files.ofsted.gov.uk/v1/file/50241802" TargetMode="External"/><Relationship Id="rId105" Type="http://schemas.openxmlformats.org/officeDocument/2006/relationships/hyperlink" Target="https://files.ofsted.gov.uk/v1/file/50309432" TargetMode="External"/><Relationship Id="rId106" Type="http://schemas.openxmlformats.org/officeDocument/2006/relationships/hyperlink" Target="https://files.ofsted.gov.uk/v1/file/50252257" TargetMode="External"/><Relationship Id="rId107" Type="http://schemas.openxmlformats.org/officeDocument/2006/relationships/hyperlink" Target="https://files.ofsted.gov.uk/v1/file/50294204" TargetMode="External"/><Relationship Id="rId108" Type="http://schemas.openxmlformats.org/officeDocument/2006/relationships/hyperlink" Target="https://files.ofsted.gov.uk/v1/file/50211330" TargetMode="External"/><Relationship Id="rId109" Type="http://schemas.openxmlformats.org/officeDocument/2006/relationships/hyperlink" Target="https://files.ofsted.gov.uk/v1/file/50292638" TargetMode="External"/><Relationship Id="rId110" Type="http://schemas.openxmlformats.org/officeDocument/2006/relationships/hyperlink" Target="https://files.ofsted.gov.uk/v1/file/50266093" TargetMode="External"/><Relationship Id="rId111" Type="http://schemas.openxmlformats.org/officeDocument/2006/relationships/hyperlink" Target="https://files.ofsted.gov.uk/v1/file/50267803" TargetMode="External"/><Relationship Id="rId112" Type="http://schemas.openxmlformats.org/officeDocument/2006/relationships/hyperlink" Target="https://files.ofsted.gov.uk/v1/file/50261980" TargetMode="External"/><Relationship Id="rId113" Type="http://schemas.openxmlformats.org/officeDocument/2006/relationships/hyperlink" Target="https://files.ofsted.gov.uk/v1/file/50252255" TargetMode="External"/><Relationship Id="rId114" Type="http://schemas.openxmlformats.org/officeDocument/2006/relationships/hyperlink" Target="https://files.ofsted.gov.uk/v1/file/50237003" TargetMode="External"/><Relationship Id="rId115" Type="http://schemas.openxmlformats.org/officeDocument/2006/relationships/hyperlink" Target="https://files.ofsted.gov.uk/v1/file/50291983" TargetMode="External"/><Relationship Id="rId116" Type="http://schemas.openxmlformats.org/officeDocument/2006/relationships/hyperlink" Target="https://files.ofsted.gov.uk/v1/file/50284335" TargetMode="External"/><Relationship Id="rId117" Type="http://schemas.openxmlformats.org/officeDocument/2006/relationships/hyperlink" Target="https://files.ofsted.gov.uk/v1/file/50231897" TargetMode="External"/><Relationship Id="rId118" Type="http://schemas.openxmlformats.org/officeDocument/2006/relationships/hyperlink" Target="https://files.ofsted.gov.uk/v1/file/50284334" TargetMode="External"/><Relationship Id="rId119" Type="http://schemas.openxmlformats.org/officeDocument/2006/relationships/hyperlink" Target="https://files.ofsted.gov.uk/v1/file/50309683" TargetMode="External"/><Relationship Id="rId120" Type="http://schemas.openxmlformats.org/officeDocument/2006/relationships/hyperlink" Target="https://files.ofsted.gov.uk/v1/file/50293398" TargetMode="External"/><Relationship Id="rId121" Type="http://schemas.openxmlformats.org/officeDocument/2006/relationships/hyperlink" Target="https://files.ofsted.gov.uk/v1/file/50304387" TargetMode="External"/><Relationship Id="rId122" Type="http://schemas.openxmlformats.org/officeDocument/2006/relationships/hyperlink" Target="https://files.ofsted.gov.uk/v1/file/50253185" TargetMode="External"/><Relationship Id="rId123" Type="http://schemas.openxmlformats.org/officeDocument/2006/relationships/hyperlink" Target="https://files.ofsted.gov.uk/v1/file/50308876" TargetMode="External"/><Relationship Id="rId124" Type="http://schemas.openxmlformats.org/officeDocument/2006/relationships/hyperlink" Target="https://files.ofsted.gov.uk/v1/file/50224705" TargetMode="External"/><Relationship Id="rId125" Type="http://schemas.openxmlformats.org/officeDocument/2006/relationships/hyperlink" Target="https://files.ofsted.gov.uk/v1/file/50263392" TargetMode="External"/><Relationship Id="rId126" Type="http://schemas.openxmlformats.org/officeDocument/2006/relationships/hyperlink" Target="https://files.ofsted.gov.uk/v1/file/50227184" TargetMode="External"/><Relationship Id="rId127" Type="http://schemas.openxmlformats.org/officeDocument/2006/relationships/hyperlink" Target="https://files.ofsted.gov.uk/v1/file/50237007" TargetMode="External"/><Relationship Id="rId128" Type="http://schemas.openxmlformats.org/officeDocument/2006/relationships/hyperlink" Target="https://files.ofsted.gov.uk/v1/file/50282103" TargetMode="External"/><Relationship Id="rId129" Type="http://schemas.openxmlformats.org/officeDocument/2006/relationships/hyperlink" Target="https://files.ofsted.gov.uk/v1/file/50215915" TargetMode="External"/><Relationship Id="rId130" Type="http://schemas.openxmlformats.org/officeDocument/2006/relationships/hyperlink" Target="https://files.ofsted.gov.uk/v1/file/50282104" TargetMode="External"/><Relationship Id="rId131" Type="http://schemas.openxmlformats.org/officeDocument/2006/relationships/hyperlink" Target="https://files.ofsted.gov.uk/v1/file/50255285" TargetMode="External"/><Relationship Id="rId132" Type="http://schemas.openxmlformats.org/officeDocument/2006/relationships/hyperlink" Target="https://files.ofsted.gov.uk/v1/file/50271150" TargetMode="External"/><Relationship Id="rId133" Type="http://schemas.openxmlformats.org/officeDocument/2006/relationships/hyperlink" Target="https://files.ofsted.gov.uk/v1/file/50276410" TargetMode="External"/><Relationship Id="rId134" Type="http://schemas.openxmlformats.org/officeDocument/2006/relationships/hyperlink" Target="https://files.ofsted.gov.uk/v1/file/50227724" TargetMode="External"/><Relationship Id="rId135" Type="http://schemas.openxmlformats.org/officeDocument/2006/relationships/hyperlink" Target="https://files.ofsted.gov.uk/v1/file/50239562" TargetMode="External"/><Relationship Id="rId136" Type="http://schemas.openxmlformats.org/officeDocument/2006/relationships/hyperlink" Target="https://files.ofsted.gov.uk/v1/file/50252260" TargetMode="External"/><Relationship Id="rId137" Type="http://schemas.openxmlformats.org/officeDocument/2006/relationships/hyperlink" Target="https://files.ofsted.gov.uk/v1/file/50260250" TargetMode="External"/><Relationship Id="rId138" Type="http://schemas.openxmlformats.org/officeDocument/2006/relationships/hyperlink" Target="https://files.ofsted.gov.uk/v1/file/50295967" TargetMode="External"/><Relationship Id="rId139" Type="http://schemas.openxmlformats.org/officeDocument/2006/relationships/hyperlink" Target="https://files.ofsted.gov.uk/v1/file/50308602" TargetMode="External"/><Relationship Id="rId140" Type="http://schemas.openxmlformats.org/officeDocument/2006/relationships/hyperlink" Target="https://files.ofsted.gov.uk/v1/file/50281396" TargetMode="External"/><Relationship Id="rId141" Type="http://schemas.openxmlformats.org/officeDocument/2006/relationships/hyperlink" Target="https://files.ofsted.gov.uk/v1/file/50253719" TargetMode="External"/><Relationship Id="rId142" Type="http://schemas.openxmlformats.org/officeDocument/2006/relationships/hyperlink" Target="https://files.ofsted.gov.uk/v1/file/50289041" TargetMode="External"/><Relationship Id="rId143" Type="http://schemas.openxmlformats.org/officeDocument/2006/relationships/hyperlink" Target="https://files.ofsted.gov.uk/v1/file/50290038" TargetMode="External"/><Relationship Id="rId144" Type="http://schemas.openxmlformats.org/officeDocument/2006/relationships/hyperlink" Target="https://files.ofsted.gov.uk/v1/file/50306547" TargetMode="External"/><Relationship Id="rId145" Type="http://schemas.openxmlformats.org/officeDocument/2006/relationships/hyperlink" Target="https://files.ofsted.gov.uk/v1/file/50216276" TargetMode="External"/><Relationship Id="rId146" Type="http://schemas.openxmlformats.org/officeDocument/2006/relationships/hyperlink" Target="https://files.ofsted.gov.uk/v1/file/50252261" TargetMode="External"/><Relationship Id="rId147" Type="http://schemas.openxmlformats.org/officeDocument/2006/relationships/hyperlink" Target="https://files.ofsted.gov.uk/v1/file/50291724" TargetMode="External"/><Relationship Id="rId148" Type="http://schemas.openxmlformats.org/officeDocument/2006/relationships/hyperlink" Target="https://files.ofsted.gov.uk/v1/file/50235241" TargetMode="External"/><Relationship Id="rId149" Type="http://schemas.openxmlformats.org/officeDocument/2006/relationships/hyperlink" Target="https://files.ofsted.gov.uk/v1/file/50238913" TargetMode="External"/><Relationship Id="rId150" Type="http://schemas.openxmlformats.org/officeDocument/2006/relationships/hyperlink" Target="https://files.ofsted.gov.uk/v1/file/50215917" TargetMode="External"/><Relationship Id="rId151" Type="http://schemas.openxmlformats.org/officeDocument/2006/relationships/hyperlink" Target="https://files.ofsted.gov.uk/v1/file/50304388" TargetMode="External"/><Relationship Id="rId152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3"/>
  <sheetViews>
    <sheetView tabSelected="1" workbookViewId="0"/>
  </sheetViews>
  <sheetFormatPr defaultRowHeight="15"/>
  <sheetData>
    <row r="1" spans="1:20">
      <c r="A1" s="1" t="s">
        <v>1402</v>
      </c>
      <c r="B1" s="1" t="s">
        <v>1403</v>
      </c>
      <c r="C1" s="1" t="s">
        <v>1404</v>
      </c>
      <c r="D1" s="1" t="s">
        <v>1405</v>
      </c>
      <c r="E1" s="1" t="s">
        <v>1406</v>
      </c>
      <c r="F1" s="1" t="s">
        <v>1407</v>
      </c>
      <c r="G1" s="1" t="s">
        <v>1408</v>
      </c>
      <c r="H1" s="1" t="s">
        <v>1409</v>
      </c>
      <c r="I1" s="1" t="s">
        <v>1410</v>
      </c>
      <c r="J1" s="1" t="s">
        <v>1411</v>
      </c>
      <c r="K1" s="1" t="s">
        <v>1412</v>
      </c>
      <c r="L1" s="1" t="s">
        <v>1413</v>
      </c>
      <c r="M1" s="1" t="s">
        <v>1414</v>
      </c>
      <c r="N1" s="1" t="s">
        <v>1415</v>
      </c>
      <c r="O1" s="1" t="s">
        <v>1416</v>
      </c>
      <c r="P1" s="1" t="s">
        <v>1417</v>
      </c>
      <c r="Q1" s="1" t="s">
        <v>1418</v>
      </c>
      <c r="R1" s="1" t="s">
        <v>1419</v>
      </c>
      <c r="S1" s="1" t="s">
        <v>1420</v>
      </c>
      <c r="T1" s="1" t="s">
        <v>1421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100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8</v>
      </c>
      <c r="J45" t="s">
        <v>9</v>
      </c>
      <c r="K45" t="s">
        <v>24</v>
      </c>
      <c r="L45" t="s">
        <v>320</v>
      </c>
      <c r="M45" t="s">
        <v>470</v>
      </c>
      <c r="N45" t="s">
        <v>471</v>
      </c>
      <c r="O45" s="3">
        <f>HYPERLINK(".\.\export_data\inspection_reports\80419_isle of wight", ".\export_data\inspection_reports\80419_isle of wight")</f>
        <v>0</v>
      </c>
      <c r="P45" t="s">
        <v>8</v>
      </c>
      <c r="Q45" t="s">
        <v>14</v>
      </c>
      <c r="R45" t="s">
        <v>8</v>
      </c>
      <c r="S45" t="s">
        <v>8</v>
      </c>
      <c r="T45" t="s">
        <v>28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479</v>
      </c>
      <c r="L46" t="s">
        <v>480</v>
      </c>
      <c r="M46" t="s">
        <v>481</v>
      </c>
      <c r="N46" t="s">
        <v>482</v>
      </c>
      <c r="O46" s="3">
        <f>HYPERLINK(".\.\export_data\inspection_reports\80476_kent", ".\export_data\inspection_reports\80476_kent")</f>
        <v>0</v>
      </c>
      <c r="P46" t="s">
        <v>8</v>
      </c>
      <c r="Q46" t="s">
        <v>8</v>
      </c>
      <c r="R46" t="s">
        <v>78</v>
      </c>
      <c r="S46" t="s">
        <v>14</v>
      </c>
      <c r="T46" t="s">
        <v>433</v>
      </c>
    </row>
    <row r="47" spans="1:20">
      <c r="A47" t="s">
        <v>483</v>
      </c>
      <c r="B47" t="s">
        <v>484</v>
      </c>
      <c r="C47" t="s">
        <v>2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48</v>
      </c>
      <c r="K47" t="s">
        <v>245</v>
      </c>
      <c r="L47" t="s">
        <v>490</v>
      </c>
      <c r="M47" t="s">
        <v>279</v>
      </c>
      <c r="N47" t="s">
        <v>280</v>
      </c>
      <c r="O47" s="3">
        <f>HYPERLINK(".\.\export_data\inspection_reports\80477_kingston upon hull", ".\export_data\inspection_reports\80477_kingston upon hull")</f>
        <v>0</v>
      </c>
      <c r="P47" t="s">
        <v>78</v>
      </c>
      <c r="Q47" t="s">
        <v>8</v>
      </c>
      <c r="R47" t="s">
        <v>8</v>
      </c>
      <c r="S47" t="s">
        <v>78</v>
      </c>
      <c r="T47" t="s">
        <v>87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498</v>
      </c>
      <c r="L48" t="s">
        <v>499</v>
      </c>
      <c r="M48" t="s">
        <v>202</v>
      </c>
      <c r="N48" t="s">
        <v>203</v>
      </c>
      <c r="O48" s="3">
        <f>HYPERLINK(".\.\export_data\inspection_reports\80478_kirklees", ".\export_data\inspection_reports\80478_kirklees")</f>
        <v>0</v>
      </c>
      <c r="P48" t="s">
        <v>8</v>
      </c>
      <c r="Q48" t="s">
        <v>8</v>
      </c>
      <c r="R48" t="s">
        <v>8</v>
      </c>
      <c r="S48" t="s">
        <v>14</v>
      </c>
      <c r="T48" t="s">
        <v>87</v>
      </c>
    </row>
    <row r="49" spans="1:20">
      <c r="A49" t="s">
        <v>500</v>
      </c>
      <c r="B49" t="s">
        <v>501</v>
      </c>
      <c r="C49" t="s">
        <v>56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189</v>
      </c>
      <c r="J49" t="s">
        <v>48</v>
      </c>
      <c r="K49" t="s">
        <v>507</v>
      </c>
      <c r="L49" t="s">
        <v>508</v>
      </c>
      <c r="M49" t="s">
        <v>509</v>
      </c>
      <c r="N49" t="s">
        <v>510</v>
      </c>
      <c r="O49" s="3">
        <f>HYPERLINK(".\.\export_data\inspection_reports\80479_knowsley", ".\export_data\inspection_reports\80479_knowsley")</f>
        <v>0</v>
      </c>
      <c r="P49" t="s">
        <v>189</v>
      </c>
      <c r="Q49" t="s">
        <v>189</v>
      </c>
      <c r="R49" t="s">
        <v>14</v>
      </c>
      <c r="S49" t="s">
        <v>189</v>
      </c>
      <c r="T49" t="s">
        <v>15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73</v>
      </c>
      <c r="J50" t="s">
        <v>48</v>
      </c>
      <c r="K50" t="s">
        <v>245</v>
      </c>
      <c r="L50" t="s">
        <v>518</v>
      </c>
      <c r="M50" t="s">
        <v>519</v>
      </c>
      <c r="N50" t="s">
        <v>520</v>
      </c>
      <c r="O50" s="3">
        <f>HYPERLINK(".\.\export_data\inspection_reports\80480_lancashire", ".\export_data\inspection_reports\80480_lancashire")</f>
        <v>0</v>
      </c>
      <c r="P50" t="s">
        <v>78</v>
      </c>
      <c r="Q50" t="s">
        <v>8</v>
      </c>
      <c r="R50" t="s">
        <v>8</v>
      </c>
      <c r="S50" t="s">
        <v>78</v>
      </c>
      <c r="T50" t="s">
        <v>87</v>
      </c>
    </row>
    <row r="51" spans="1:20">
      <c r="A51" t="s">
        <v>521</v>
      </c>
      <c r="B51" t="s">
        <v>522</v>
      </c>
      <c r="C51" t="s">
        <v>2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78</v>
      </c>
      <c r="J51" t="s">
        <v>9</v>
      </c>
      <c r="K51" t="s">
        <v>211</v>
      </c>
      <c r="L51" t="s">
        <v>528</v>
      </c>
      <c r="M51" t="s">
        <v>529</v>
      </c>
      <c r="N51" t="s">
        <v>530</v>
      </c>
      <c r="O51" s="3">
        <f>HYPERLINK(".\.\export_data\inspection_reports\80481_leeds", ".\export_data\inspection_reports\80481_leeds")</f>
        <v>0</v>
      </c>
      <c r="P51" t="s">
        <v>78</v>
      </c>
      <c r="Q51" t="s">
        <v>8</v>
      </c>
      <c r="R51" t="s">
        <v>78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304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14</v>
      </c>
      <c r="J52" t="s">
        <v>9</v>
      </c>
      <c r="K52" t="s">
        <v>390</v>
      </c>
      <c r="L52" t="s">
        <v>224</v>
      </c>
      <c r="M52" t="s">
        <v>225</v>
      </c>
      <c r="N52" t="s">
        <v>97</v>
      </c>
      <c r="O52" s="3">
        <f>HYPERLINK(".\.\export_data\inspection_reports\80482_leicester", ".\export_data\inspection_reports\80482_leicester")</f>
        <v>0</v>
      </c>
      <c r="P52" t="s">
        <v>14</v>
      </c>
      <c r="Q52" t="s">
        <v>14</v>
      </c>
      <c r="R52" t="s">
        <v>14</v>
      </c>
      <c r="S52" t="s">
        <v>14</v>
      </c>
      <c r="T52" t="s">
        <v>394</v>
      </c>
    </row>
    <row r="53" spans="1:20">
      <c r="A53" t="s">
        <v>538</v>
      </c>
      <c r="B53" t="s">
        <v>539</v>
      </c>
      <c r="C53" t="s">
        <v>304</v>
      </c>
      <c r="D53" t="s">
        <v>540</v>
      </c>
      <c r="E53" t="s">
        <v>541</v>
      </c>
      <c r="F53" t="s">
        <v>542</v>
      </c>
      <c r="G53" t="s">
        <v>543</v>
      </c>
      <c r="H53" s="2" t="s">
        <v>544</v>
      </c>
      <c r="I53" t="s">
        <v>78</v>
      </c>
      <c r="J53" t="s">
        <v>48</v>
      </c>
      <c r="K53" t="s">
        <v>371</v>
      </c>
      <c r="L53" t="s">
        <v>545</v>
      </c>
      <c r="M53" t="s">
        <v>546</v>
      </c>
      <c r="N53" t="s">
        <v>432</v>
      </c>
      <c r="O53" s="3">
        <f>HYPERLINK(".\.\export_data\inspection_reports\80483_leicestershire", ".\export_data\inspection_reports\80483_leicestershire")</f>
        <v>0</v>
      </c>
      <c r="P53" t="s">
        <v>78</v>
      </c>
      <c r="Q53" t="s">
        <v>8</v>
      </c>
      <c r="R53" t="s">
        <v>78</v>
      </c>
      <c r="S53" t="s">
        <v>78</v>
      </c>
      <c r="T53" t="s">
        <v>28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9</v>
      </c>
      <c r="K54" t="s">
        <v>74</v>
      </c>
      <c r="L54" t="s">
        <v>554</v>
      </c>
      <c r="M54" t="s">
        <v>555</v>
      </c>
      <c r="N54" t="s">
        <v>556</v>
      </c>
      <c r="O54" s="3">
        <f>HYPERLINK(".\.\export_data\inspection_reports\80484_lincolnshire", ".\export_data\inspection_reports\80484_lincolnshire")</f>
        <v>0</v>
      </c>
      <c r="P54" t="s">
        <v>78</v>
      </c>
      <c r="Q54" t="s">
        <v>78</v>
      </c>
      <c r="R54" t="s">
        <v>78</v>
      </c>
      <c r="S54" t="s">
        <v>8</v>
      </c>
      <c r="T54" t="s">
        <v>28</v>
      </c>
    </row>
    <row r="55" spans="1:20">
      <c r="A55" t="s">
        <v>557</v>
      </c>
      <c r="B55" t="s">
        <v>558</v>
      </c>
      <c r="C55" t="s">
        <v>56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73</v>
      </c>
      <c r="J55" t="s">
        <v>48</v>
      </c>
      <c r="K55" t="s">
        <v>190</v>
      </c>
      <c r="L55" t="s">
        <v>518</v>
      </c>
      <c r="M55" t="s">
        <v>519</v>
      </c>
      <c r="N55" t="s">
        <v>564</v>
      </c>
      <c r="O55" s="3">
        <f>HYPERLINK(".\.\export_data\inspection_reports\80485_liverpool", ".\export_data\inspection_reports\80485_liverpool")</f>
        <v>0</v>
      </c>
      <c r="P55" t="s">
        <v>8</v>
      </c>
      <c r="Q55" t="s">
        <v>8</v>
      </c>
      <c r="R55" t="s">
        <v>8</v>
      </c>
      <c r="S55" t="s">
        <v>14</v>
      </c>
      <c r="T55" t="s">
        <v>53</v>
      </c>
    </row>
    <row r="56" spans="1:20">
      <c r="A56" t="s">
        <v>565</v>
      </c>
      <c r="B56" t="s">
        <v>566</v>
      </c>
      <c r="C56" t="s">
        <v>217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14</v>
      </c>
      <c r="J56" t="s">
        <v>48</v>
      </c>
      <c r="K56" t="s">
        <v>106</v>
      </c>
      <c r="L56" t="s">
        <v>572</v>
      </c>
      <c r="M56" t="s">
        <v>573</v>
      </c>
      <c r="N56" t="s">
        <v>574</v>
      </c>
      <c r="O56" s="3">
        <f>HYPERLINK(".\.\export_data\inspection_reports\80486_barking and dagenham", ".\export_data\inspection_reports\80486_barking and dagenham")</f>
        <v>0</v>
      </c>
      <c r="P56" t="s">
        <v>14</v>
      </c>
      <c r="Q56" t="s">
        <v>14</v>
      </c>
      <c r="R56" t="s">
        <v>14</v>
      </c>
      <c r="S56" t="s">
        <v>8</v>
      </c>
      <c r="T56" t="s">
        <v>28</v>
      </c>
    </row>
    <row r="57" spans="1:20">
      <c r="A57" t="s">
        <v>575</v>
      </c>
      <c r="B57" t="s">
        <v>576</v>
      </c>
      <c r="C57" t="s">
        <v>217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8</v>
      </c>
      <c r="J57" t="s">
        <v>9</v>
      </c>
      <c r="K57" t="s">
        <v>106</v>
      </c>
      <c r="L57" t="s">
        <v>441</v>
      </c>
      <c r="M57" t="s">
        <v>442</v>
      </c>
      <c r="N57" t="s">
        <v>443</v>
      </c>
      <c r="O57" s="3">
        <f>HYPERLINK(".\.\export_data\inspection_reports\80487_barnet", ".\export_data\inspection_reports\80487_barnet")</f>
        <v>0</v>
      </c>
      <c r="P57" t="s">
        <v>8</v>
      </c>
      <c r="Q57" t="s">
        <v>8</v>
      </c>
      <c r="R57" t="s">
        <v>78</v>
      </c>
      <c r="S57" t="s">
        <v>8</v>
      </c>
      <c r="T57" t="s">
        <v>28</v>
      </c>
    </row>
    <row r="58" spans="1:20">
      <c r="A58" t="s">
        <v>582</v>
      </c>
      <c r="B58" t="s">
        <v>583</v>
      </c>
      <c r="C58" t="s">
        <v>217</v>
      </c>
      <c r="D58" t="s">
        <v>584</v>
      </c>
      <c r="E58" t="s">
        <v>585</v>
      </c>
      <c r="F58" t="s">
        <v>586</v>
      </c>
      <c r="G58" t="s">
        <v>587</v>
      </c>
      <c r="H58" s="2" t="s">
        <v>588</v>
      </c>
      <c r="I58" t="s">
        <v>78</v>
      </c>
      <c r="J58" t="s">
        <v>9</v>
      </c>
      <c r="K58" t="s">
        <v>390</v>
      </c>
      <c r="L58" t="s">
        <v>589</v>
      </c>
      <c r="M58" t="s">
        <v>381</v>
      </c>
      <c r="N58" t="s">
        <v>382</v>
      </c>
      <c r="O58" s="3">
        <f>HYPERLINK(".\.\export_data\inspection_reports\80488_bexley", ".\export_data\inspection_reports\80488_bexley")</f>
        <v>0</v>
      </c>
      <c r="P58" t="s">
        <v>78</v>
      </c>
      <c r="Q58" t="s">
        <v>8</v>
      </c>
      <c r="R58" t="s">
        <v>8</v>
      </c>
      <c r="S58" t="s">
        <v>78</v>
      </c>
      <c r="T58" t="s">
        <v>394</v>
      </c>
    </row>
    <row r="59" spans="1:20">
      <c r="A59" t="s">
        <v>590</v>
      </c>
      <c r="B59" t="s">
        <v>591</v>
      </c>
      <c r="C59" t="s">
        <v>217</v>
      </c>
      <c r="D59" t="s">
        <v>592</v>
      </c>
      <c r="E59" t="s">
        <v>593</v>
      </c>
      <c r="F59" t="s">
        <v>594</v>
      </c>
      <c r="G59" t="s">
        <v>595</v>
      </c>
      <c r="H59" s="2" t="s">
        <v>596</v>
      </c>
      <c r="I59" t="s">
        <v>73</v>
      </c>
      <c r="J59" t="s">
        <v>9</v>
      </c>
      <c r="K59" t="s">
        <v>597</v>
      </c>
      <c r="L59" t="s">
        <v>598</v>
      </c>
      <c r="M59" t="s">
        <v>599</v>
      </c>
      <c r="N59" t="s">
        <v>600</v>
      </c>
      <c r="O59" s="3">
        <f>HYPERLINK(".\.\export_data\inspection_reports\80489_brent", ".\export_data\inspection_reports\80489_brent")</f>
        <v>0</v>
      </c>
      <c r="P59" t="s">
        <v>8</v>
      </c>
      <c r="Q59" t="s">
        <v>8</v>
      </c>
      <c r="R59" t="s">
        <v>8</v>
      </c>
      <c r="S59" t="s">
        <v>8</v>
      </c>
      <c r="T59" t="s">
        <v>15</v>
      </c>
    </row>
    <row r="60" spans="1:20">
      <c r="A60" t="s">
        <v>601</v>
      </c>
      <c r="B60" t="s">
        <v>602</v>
      </c>
      <c r="C60" t="s">
        <v>217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78</v>
      </c>
      <c r="J60" t="s">
        <v>9</v>
      </c>
      <c r="K60" t="s">
        <v>608</v>
      </c>
      <c r="L60" t="s">
        <v>609</v>
      </c>
      <c r="M60" t="s">
        <v>610</v>
      </c>
      <c r="N60" t="s">
        <v>322</v>
      </c>
      <c r="O60" s="3">
        <f>HYPERLINK(".\.\export_data\inspection_reports\80490_bromley", ".\export_data\inspection_reports\80490_bromley")</f>
        <v>0</v>
      </c>
      <c r="P60" t="s">
        <v>78</v>
      </c>
      <c r="Q60" t="s">
        <v>78</v>
      </c>
      <c r="R60" t="s">
        <v>78</v>
      </c>
      <c r="S60" t="s">
        <v>78</v>
      </c>
      <c r="T60" t="s">
        <v>87</v>
      </c>
    </row>
    <row r="61" spans="1:20">
      <c r="A61" t="s">
        <v>611</v>
      </c>
      <c r="B61" t="s">
        <v>612</v>
      </c>
      <c r="C61" t="s">
        <v>217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78</v>
      </c>
      <c r="J61" t="s">
        <v>9</v>
      </c>
      <c r="K61" t="s">
        <v>608</v>
      </c>
      <c r="L61" t="s">
        <v>63</v>
      </c>
      <c r="M61" t="s">
        <v>247</v>
      </c>
      <c r="N61" t="s">
        <v>248</v>
      </c>
      <c r="O61" s="3">
        <f>HYPERLINK(".\.\export_data\inspection_reports\80491_camden", ".\export_data\inspection_reports\80491_camden")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618</v>
      </c>
      <c r="B62" t="s">
        <v>619</v>
      </c>
      <c r="C62" t="s">
        <v>217</v>
      </c>
      <c r="D62" t="s">
        <v>620</v>
      </c>
      <c r="E62" t="s">
        <v>621</v>
      </c>
      <c r="F62" t="s">
        <v>622</v>
      </c>
      <c r="G62" t="s">
        <v>623</v>
      </c>
      <c r="H62" s="2" t="s">
        <v>624</v>
      </c>
      <c r="I62" t="s">
        <v>8</v>
      </c>
      <c r="J62" t="s">
        <v>48</v>
      </c>
      <c r="K62" t="s">
        <v>223</v>
      </c>
      <c r="L62" t="s">
        <v>625</v>
      </c>
      <c r="M62" t="s">
        <v>626</v>
      </c>
      <c r="N62" t="s">
        <v>627</v>
      </c>
      <c r="O62" s="3">
        <f>HYPERLINK(".\.\export_data\inspection_reports\80492_croydon", ".\export_data\inspection_reports\80492_croydon")</f>
        <v>0</v>
      </c>
      <c r="P62" t="s">
        <v>8</v>
      </c>
      <c r="Q62" t="s">
        <v>14</v>
      </c>
      <c r="R62" t="s">
        <v>8</v>
      </c>
      <c r="S62" t="s">
        <v>8</v>
      </c>
      <c r="T62" t="s">
        <v>227</v>
      </c>
    </row>
    <row r="63" spans="1:20">
      <c r="A63" t="s">
        <v>628</v>
      </c>
      <c r="B63" t="s">
        <v>629</v>
      </c>
      <c r="C63" t="s">
        <v>217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390</v>
      </c>
      <c r="L63" t="s">
        <v>545</v>
      </c>
      <c r="M63" t="s">
        <v>546</v>
      </c>
      <c r="N63" t="s">
        <v>432</v>
      </c>
      <c r="O63" s="3">
        <f>HYPERLINK(".\.\export_data\inspection_reports\80493_ealing", ".\export_data\inspection_reports\80493_ealing")</f>
        <v>0</v>
      </c>
      <c r="P63" t="s">
        <v>8</v>
      </c>
      <c r="Q63" t="s">
        <v>14</v>
      </c>
      <c r="R63" t="s">
        <v>8</v>
      </c>
      <c r="S63" t="s">
        <v>8</v>
      </c>
      <c r="T63" t="s">
        <v>394</v>
      </c>
    </row>
    <row r="64" spans="1:20">
      <c r="A64" t="s">
        <v>635</v>
      </c>
      <c r="B64" t="s">
        <v>636</v>
      </c>
      <c r="C64" t="s">
        <v>217</v>
      </c>
      <c r="D64" t="s">
        <v>637</v>
      </c>
      <c r="E64" t="s">
        <v>638</v>
      </c>
      <c r="F64" t="s">
        <v>639</v>
      </c>
      <c r="G64" t="s">
        <v>640</v>
      </c>
      <c r="H64" s="2" t="s">
        <v>641</v>
      </c>
      <c r="I64" t="s">
        <v>8</v>
      </c>
      <c r="J64" t="s">
        <v>9</v>
      </c>
      <c r="K64" t="s">
        <v>223</v>
      </c>
      <c r="L64" t="s">
        <v>642</v>
      </c>
      <c r="M64" t="s">
        <v>643</v>
      </c>
      <c r="N64" t="s">
        <v>644</v>
      </c>
      <c r="O64" s="3">
        <f>HYPERLINK(".\.\export_data\inspection_reports\80494_enfield", ".\export_data\inspection_reports\80494_enfield")</f>
        <v>0</v>
      </c>
      <c r="P64" t="s">
        <v>8</v>
      </c>
      <c r="Q64" t="s">
        <v>8</v>
      </c>
      <c r="R64" t="s">
        <v>78</v>
      </c>
      <c r="S64" t="s">
        <v>8</v>
      </c>
      <c r="T64" t="s">
        <v>227</v>
      </c>
    </row>
    <row r="65" spans="1:20">
      <c r="A65" t="s">
        <v>645</v>
      </c>
      <c r="B65" t="s">
        <v>646</v>
      </c>
      <c r="C65" t="s">
        <v>217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78</v>
      </c>
      <c r="J65" t="s">
        <v>9</v>
      </c>
      <c r="K65" t="s">
        <v>390</v>
      </c>
      <c r="L65" t="s">
        <v>652</v>
      </c>
      <c r="M65" t="s">
        <v>653</v>
      </c>
      <c r="N65" t="s">
        <v>654</v>
      </c>
      <c r="O65" s="3">
        <f>HYPERLINK(".\.\export_data\inspection_reports\80495_greenwich", ".\export_data\inspection_reports\80495_greenwich")</f>
        <v>0</v>
      </c>
      <c r="P65" t="s">
        <v>78</v>
      </c>
      <c r="Q65" t="s">
        <v>8</v>
      </c>
      <c r="R65" t="s">
        <v>78</v>
      </c>
      <c r="S65" t="s">
        <v>78</v>
      </c>
      <c r="T65" t="s">
        <v>394</v>
      </c>
    </row>
    <row r="66" spans="1:20">
      <c r="A66" t="s">
        <v>655</v>
      </c>
      <c r="B66" t="s">
        <v>656</v>
      </c>
      <c r="C66" t="s">
        <v>217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8</v>
      </c>
      <c r="J66" t="s">
        <v>48</v>
      </c>
      <c r="K66" t="s">
        <v>74</v>
      </c>
      <c r="L66" t="s">
        <v>257</v>
      </c>
      <c r="M66" t="s">
        <v>662</v>
      </c>
      <c r="N66" t="s">
        <v>663</v>
      </c>
      <c r="O66" s="3">
        <f>HYPERLINK(".\.\export_data\inspection_reports\80496_hackney", ".\export_data\inspection_reports\80496_hackney")</f>
        <v>0</v>
      </c>
      <c r="P66" t="s">
        <v>8</v>
      </c>
      <c r="Q66" t="s">
        <v>8</v>
      </c>
      <c r="R66" t="s">
        <v>8</v>
      </c>
      <c r="S66" t="s">
        <v>14</v>
      </c>
      <c r="T66" t="s">
        <v>28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78</v>
      </c>
      <c r="J67" t="s">
        <v>9</v>
      </c>
      <c r="K67" t="s">
        <v>223</v>
      </c>
      <c r="L67" t="s">
        <v>671</v>
      </c>
      <c r="M67" t="s">
        <v>171</v>
      </c>
      <c r="N67" t="s">
        <v>119</v>
      </c>
      <c r="O67" s="3">
        <f>HYPERLINK(".\.\export_data\inspection_reports\80497_hammersmith and fulham", ".\export_data\inspection_reports\80497_hammersmith and fulham")</f>
        <v>0</v>
      </c>
      <c r="P67" t="s">
        <v>78</v>
      </c>
      <c r="Q67" t="s">
        <v>8</v>
      </c>
      <c r="R67" t="s">
        <v>78</v>
      </c>
      <c r="S67" t="s">
        <v>78</v>
      </c>
      <c r="T67" t="s">
        <v>227</v>
      </c>
    </row>
    <row r="68" spans="1:20">
      <c r="A68" t="s">
        <v>672</v>
      </c>
      <c r="B68" t="s">
        <v>673</v>
      </c>
      <c r="C68" t="s">
        <v>217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78</v>
      </c>
      <c r="J68" t="s">
        <v>9</v>
      </c>
      <c r="K68" t="s">
        <v>223</v>
      </c>
      <c r="L68" t="s">
        <v>212</v>
      </c>
      <c r="M68" t="s">
        <v>679</v>
      </c>
      <c r="N68" t="s">
        <v>680</v>
      </c>
      <c r="O68" s="3">
        <f>HYPERLINK(".\.\export_data\inspection_reports\80498_haringey", ".\export_data\inspection_reports\80498_haringey")</f>
        <v>0</v>
      </c>
      <c r="P68" t="s">
        <v>78</v>
      </c>
      <c r="Q68" t="s">
        <v>8</v>
      </c>
      <c r="R68" t="s">
        <v>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189</v>
      </c>
      <c r="J69" t="s">
        <v>9</v>
      </c>
      <c r="K69" t="s">
        <v>507</v>
      </c>
      <c r="L69" t="s">
        <v>341</v>
      </c>
      <c r="M69" t="s">
        <v>688</v>
      </c>
      <c r="N69" t="s">
        <v>689</v>
      </c>
      <c r="O69" s="3">
        <f>HYPERLINK(".\.\export_data\inspection_reports\80499_harrow", ".\export_data\inspection_reports\80499_harrow")</f>
        <v>0</v>
      </c>
      <c r="P69" t="s">
        <v>14</v>
      </c>
      <c r="Q69" t="s">
        <v>8</v>
      </c>
      <c r="R69" t="s">
        <v>8</v>
      </c>
      <c r="S69" t="s">
        <v>189</v>
      </c>
      <c r="T69" t="s">
        <v>15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48</v>
      </c>
      <c r="K70" t="s">
        <v>608</v>
      </c>
      <c r="L70" t="s">
        <v>391</v>
      </c>
      <c r="M70" t="s">
        <v>697</v>
      </c>
      <c r="N70" t="s">
        <v>698</v>
      </c>
      <c r="O70" s="3">
        <f>HYPERLINK(".\.\export_data\inspection_reports\80500_havering", ".\export_data\inspection_reports\80500_havering")</f>
        <v>0</v>
      </c>
      <c r="P70" t="s">
        <v>189</v>
      </c>
      <c r="Q70" t="s">
        <v>189</v>
      </c>
      <c r="R70" t="s">
        <v>189</v>
      </c>
      <c r="S70" t="s">
        <v>14</v>
      </c>
      <c r="T70" t="s">
        <v>87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78</v>
      </c>
      <c r="J71" t="s">
        <v>9</v>
      </c>
      <c r="K71" t="s">
        <v>223</v>
      </c>
      <c r="L71" t="s">
        <v>706</v>
      </c>
      <c r="M71" t="s">
        <v>707</v>
      </c>
      <c r="N71" t="s">
        <v>708</v>
      </c>
      <c r="O71" s="3">
        <f>HYPERLINK(".\.\export_data\inspection_reports\80501_hillingdon", ".\export_data\inspection_reports\80501_hillingdon")</f>
        <v>0</v>
      </c>
      <c r="P71" t="s">
        <v>78</v>
      </c>
      <c r="Q71" t="s">
        <v>8</v>
      </c>
      <c r="R71" t="s">
        <v>78</v>
      </c>
      <c r="S71" t="s">
        <v>8</v>
      </c>
      <c r="T71" t="s">
        <v>227</v>
      </c>
    </row>
    <row r="72" spans="1:20">
      <c r="A72" t="s">
        <v>709</v>
      </c>
      <c r="B72" t="s">
        <v>710</v>
      </c>
      <c r="C72" t="s">
        <v>217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8</v>
      </c>
      <c r="J72" t="s">
        <v>9</v>
      </c>
      <c r="K72" t="s">
        <v>139</v>
      </c>
      <c r="L72" t="s">
        <v>716</v>
      </c>
      <c r="M72" t="s">
        <v>717</v>
      </c>
      <c r="N72" t="s">
        <v>718</v>
      </c>
      <c r="O72" s="3">
        <f>HYPERLINK(".\.\export_data\inspection_reports\80503_hounslow", ".\export_data\inspection_reports\80503_hounslow")</f>
        <v>0</v>
      </c>
      <c r="P72" t="s">
        <v>78</v>
      </c>
      <c r="Q72" t="s">
        <v>8</v>
      </c>
      <c r="R72" t="s">
        <v>8</v>
      </c>
      <c r="S72" t="s">
        <v>8</v>
      </c>
      <c r="T72" t="s">
        <v>87</v>
      </c>
    </row>
    <row r="73" spans="1:20">
      <c r="A73" t="s">
        <v>719</v>
      </c>
      <c r="B73" t="s">
        <v>720</v>
      </c>
      <c r="C73" t="s">
        <v>217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78</v>
      </c>
      <c r="J73" t="s">
        <v>9</v>
      </c>
      <c r="K73" t="s">
        <v>256</v>
      </c>
      <c r="L73" t="s">
        <v>95</v>
      </c>
      <c r="M73" t="s">
        <v>413</v>
      </c>
      <c r="N73" t="s">
        <v>97</v>
      </c>
      <c r="O73" s="3">
        <f>HYPERLINK(".\.\export_data\inspection_reports\80505_islington", ".\export_data\inspection_reports\80505_islington")</f>
        <v>0</v>
      </c>
      <c r="P73" t="s">
        <v>78</v>
      </c>
      <c r="Q73" t="s">
        <v>78</v>
      </c>
      <c r="R73" t="s">
        <v>78</v>
      </c>
      <c r="S73" t="s">
        <v>78</v>
      </c>
      <c r="T73" t="s">
        <v>15</v>
      </c>
    </row>
    <row r="74" spans="1:20">
      <c r="A74" t="s">
        <v>726</v>
      </c>
      <c r="B74" t="s">
        <v>727</v>
      </c>
      <c r="C74" t="s">
        <v>217</v>
      </c>
      <c r="D74" t="s">
        <v>728</v>
      </c>
      <c r="E74" t="s">
        <v>729</v>
      </c>
      <c r="F74" t="s">
        <v>730</v>
      </c>
      <c r="G74" t="s">
        <v>731</v>
      </c>
      <c r="H74" s="2" t="s">
        <v>732</v>
      </c>
      <c r="I74" t="s">
        <v>8</v>
      </c>
      <c r="J74" t="s">
        <v>48</v>
      </c>
      <c r="K74" t="s">
        <v>733</v>
      </c>
      <c r="L74" t="s">
        <v>212</v>
      </c>
      <c r="M74" t="s">
        <v>213</v>
      </c>
      <c r="N74" t="s">
        <v>734</v>
      </c>
      <c r="O74" s="3">
        <f>HYPERLINK(".\.\export_data\inspection_reports\80506_lambeth", ".\export_data\inspection_reports\80506_lambeth")</f>
        <v>0</v>
      </c>
      <c r="P74" t="s">
        <v>8</v>
      </c>
      <c r="Q74" t="s">
        <v>14</v>
      </c>
      <c r="R74" t="s">
        <v>8</v>
      </c>
      <c r="S74" t="s">
        <v>78</v>
      </c>
      <c r="T74" t="s">
        <v>53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743</v>
      </c>
      <c r="M75" t="s">
        <v>392</v>
      </c>
      <c r="N75" t="s">
        <v>744</v>
      </c>
      <c r="O75" s="3">
        <f>HYPERLINK(".\.\export_data\inspection_reports\80508_lewisham", ".\export_data\inspection_reports\80508_lewisham")</f>
        <v>0</v>
      </c>
      <c r="P75" t="s">
        <v>8</v>
      </c>
      <c r="Q75" t="s">
        <v>8</v>
      </c>
      <c r="R75" t="s">
        <v>8</v>
      </c>
      <c r="S75" t="s">
        <v>8</v>
      </c>
      <c r="T75" t="s">
        <v>53</v>
      </c>
    </row>
    <row r="76" spans="1:20">
      <c r="A76" t="s">
        <v>745</v>
      </c>
      <c r="B76" t="s">
        <v>746</v>
      </c>
      <c r="C76" t="s">
        <v>217</v>
      </c>
      <c r="D76" t="s">
        <v>747</v>
      </c>
      <c r="E76" t="s">
        <v>748</v>
      </c>
      <c r="F76" t="s">
        <v>749</v>
      </c>
      <c r="G76" t="s">
        <v>750</v>
      </c>
      <c r="H76" s="2" t="s">
        <v>751</v>
      </c>
      <c r="I76" t="s">
        <v>78</v>
      </c>
      <c r="J76" t="s">
        <v>9</v>
      </c>
      <c r="K76" t="s">
        <v>608</v>
      </c>
      <c r="L76" t="s">
        <v>37</v>
      </c>
      <c r="M76" t="s">
        <v>38</v>
      </c>
      <c r="N76" t="s">
        <v>39</v>
      </c>
      <c r="O76" s="3">
        <f>HYPERLINK(".\.\export_data\inspection_reports\80510_merton", ".\export_data\inspection_reports\80510_merton")</f>
        <v>0</v>
      </c>
      <c r="P76" t="s">
        <v>78</v>
      </c>
      <c r="Q76" t="s">
        <v>8</v>
      </c>
      <c r="R76" t="s">
        <v>78</v>
      </c>
      <c r="S76" t="s">
        <v>78</v>
      </c>
      <c r="T76" t="s">
        <v>87</v>
      </c>
    </row>
    <row r="77" spans="1:20">
      <c r="A77" t="s">
        <v>752</v>
      </c>
      <c r="B77" t="s">
        <v>753</v>
      </c>
      <c r="C77" t="s">
        <v>217</v>
      </c>
      <c r="D77" t="s">
        <v>754</v>
      </c>
      <c r="E77" t="s">
        <v>755</v>
      </c>
      <c r="F77" t="s">
        <v>756</v>
      </c>
      <c r="G77" t="s">
        <v>757</v>
      </c>
      <c r="H77" s="2" t="s">
        <v>758</v>
      </c>
      <c r="I77" t="s">
        <v>78</v>
      </c>
      <c r="J77" t="s">
        <v>9</v>
      </c>
      <c r="K77" t="s">
        <v>371</v>
      </c>
      <c r="L77" t="s">
        <v>460</v>
      </c>
      <c r="M77" t="s">
        <v>759</v>
      </c>
      <c r="N77" t="s">
        <v>462</v>
      </c>
      <c r="O77" s="3">
        <f>HYPERLINK(".\.\export_data\inspection_reports\80511_newham", ".\export_data\inspection_reports\80511_newham")</f>
        <v>0</v>
      </c>
      <c r="P77" t="s">
        <v>78</v>
      </c>
      <c r="Q77" t="s">
        <v>78</v>
      </c>
      <c r="R77" t="s">
        <v>78</v>
      </c>
      <c r="S77" t="s">
        <v>78</v>
      </c>
      <c r="T77" t="s">
        <v>28</v>
      </c>
    </row>
    <row r="78" spans="1:20">
      <c r="A78" t="s">
        <v>760</v>
      </c>
      <c r="B78" t="s">
        <v>761</v>
      </c>
      <c r="C78" t="s">
        <v>217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78</v>
      </c>
      <c r="J78" t="s">
        <v>9</v>
      </c>
      <c r="K78" t="s">
        <v>767</v>
      </c>
      <c r="L78" t="s">
        <v>441</v>
      </c>
      <c r="M78" t="s">
        <v>442</v>
      </c>
      <c r="N78" t="s">
        <v>443</v>
      </c>
      <c r="O78" s="3">
        <f>HYPERLINK(".\.\export_data\inspection_reports\80512_redbridge", ".\export_data\inspection_reports\80512_redbridge")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433</v>
      </c>
    </row>
    <row r="79" spans="1:20">
      <c r="A79" t="s">
        <v>768</v>
      </c>
      <c r="B79" t="s">
        <v>769</v>
      </c>
      <c r="C79" t="s">
        <v>217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78</v>
      </c>
      <c r="J79" t="s">
        <v>9</v>
      </c>
      <c r="K79" t="s">
        <v>139</v>
      </c>
      <c r="L79" t="s">
        <v>528</v>
      </c>
      <c r="M79" t="s">
        <v>529</v>
      </c>
      <c r="N79" t="s">
        <v>530</v>
      </c>
      <c r="O79" s="3">
        <f>HYPERLINK(".\.\export_data\inspection_reports\80513_richmond upon thames", ".\export_data\inspection_reports\80513_richmond upon thames")</f>
        <v>0</v>
      </c>
      <c r="P79" t="s">
        <v>78</v>
      </c>
      <c r="Q79" t="s">
        <v>8</v>
      </c>
      <c r="R79" t="s">
        <v>78</v>
      </c>
      <c r="S79" t="s">
        <v>78</v>
      </c>
      <c r="T79" t="s">
        <v>87</v>
      </c>
    </row>
    <row r="80" spans="1:20">
      <c r="A80" t="s">
        <v>775</v>
      </c>
      <c r="B80" t="s">
        <v>776</v>
      </c>
      <c r="C80" t="s">
        <v>217</v>
      </c>
      <c r="D80" t="s">
        <v>777</v>
      </c>
      <c r="E80" t="s">
        <v>778</v>
      </c>
      <c r="F80" t="s">
        <v>779</v>
      </c>
      <c r="G80" t="s">
        <v>780</v>
      </c>
      <c r="H80" s="2" t="s">
        <v>781</v>
      </c>
      <c r="I80" t="s">
        <v>8</v>
      </c>
      <c r="J80" t="s">
        <v>9</v>
      </c>
      <c r="K80" t="s">
        <v>733</v>
      </c>
      <c r="L80" t="s">
        <v>278</v>
      </c>
      <c r="M80" t="s">
        <v>279</v>
      </c>
      <c r="N80" t="s">
        <v>280</v>
      </c>
      <c r="O80" s="3">
        <f>HYPERLINK(".\.\export_data\inspection_reports\80514_southwark", ".\export_data\inspection_reports\80514_southwark")</f>
        <v>0</v>
      </c>
      <c r="P80" t="s">
        <v>8</v>
      </c>
      <c r="Q80" t="s">
        <v>8</v>
      </c>
      <c r="R80" t="s">
        <v>8</v>
      </c>
      <c r="S80" t="s">
        <v>8</v>
      </c>
      <c r="T80" t="s">
        <v>53</v>
      </c>
    </row>
    <row r="81" spans="1:20">
      <c r="A81" t="s">
        <v>782</v>
      </c>
      <c r="B81" t="s">
        <v>783</v>
      </c>
      <c r="C81" t="s">
        <v>217</v>
      </c>
      <c r="D81" t="s">
        <v>784</v>
      </c>
      <c r="E81" t="s">
        <v>785</v>
      </c>
      <c r="F81" t="s">
        <v>786</v>
      </c>
      <c r="G81" t="s">
        <v>787</v>
      </c>
      <c r="H81" s="2" t="s">
        <v>788</v>
      </c>
      <c r="I81" t="s">
        <v>8</v>
      </c>
      <c r="J81" t="s">
        <v>9</v>
      </c>
      <c r="K81" t="s">
        <v>62</v>
      </c>
      <c r="L81" t="s">
        <v>789</v>
      </c>
      <c r="M81" t="s">
        <v>151</v>
      </c>
      <c r="N81" t="s">
        <v>152</v>
      </c>
      <c r="O81" s="3">
        <f>HYPERLINK(".\.\export_data\inspection_reports\80515_sutton", ".\export_data\inspection_reports\80515_sutton")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790</v>
      </c>
      <c r="B82" t="s">
        <v>791</v>
      </c>
      <c r="C82" t="s">
        <v>217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78</v>
      </c>
      <c r="J82" t="s">
        <v>9</v>
      </c>
      <c r="K82" t="s">
        <v>24</v>
      </c>
      <c r="L82" t="s">
        <v>797</v>
      </c>
      <c r="M82" t="s">
        <v>798</v>
      </c>
      <c r="N82" t="s">
        <v>799</v>
      </c>
      <c r="O82" s="3">
        <f>HYPERLINK(".\.\export_data\inspection_reports\80516_tower hamlets", ".\export_data\inspection_reports\80516_tower hamlets")</f>
        <v>0</v>
      </c>
      <c r="P82" t="s">
        <v>78</v>
      </c>
      <c r="Q82" t="s">
        <v>8</v>
      </c>
      <c r="R82" t="s">
        <v>8</v>
      </c>
      <c r="S82" t="s">
        <v>78</v>
      </c>
      <c r="T82" t="s">
        <v>28</v>
      </c>
    </row>
    <row r="83" spans="1:20">
      <c r="A83" t="s">
        <v>800</v>
      </c>
      <c r="B83" t="s">
        <v>801</v>
      </c>
      <c r="C83" t="s">
        <v>217</v>
      </c>
      <c r="D83" t="s">
        <v>802</v>
      </c>
      <c r="E83" t="s">
        <v>803</v>
      </c>
      <c r="F83" t="s">
        <v>804</v>
      </c>
      <c r="G83" t="s">
        <v>805</v>
      </c>
      <c r="H83" s="2" t="s">
        <v>806</v>
      </c>
      <c r="I83" t="s">
        <v>8</v>
      </c>
      <c r="J83" t="s">
        <v>9</v>
      </c>
      <c r="K83" t="s">
        <v>807</v>
      </c>
      <c r="L83" t="s">
        <v>499</v>
      </c>
      <c r="M83" t="s">
        <v>662</v>
      </c>
      <c r="N83" t="s">
        <v>663</v>
      </c>
      <c r="O83" s="3">
        <f>HYPERLINK(".\.\export_data\inspection_reports\80517_waltham forest", ".\export_data\inspection_reports\80517_waltham forest")</f>
        <v>0</v>
      </c>
      <c r="P83" t="s">
        <v>8</v>
      </c>
      <c r="Q83" t="s">
        <v>8</v>
      </c>
      <c r="R83" t="s">
        <v>78</v>
      </c>
      <c r="S83" t="s">
        <v>8</v>
      </c>
      <c r="T83" t="s">
        <v>120</v>
      </c>
    </row>
    <row r="84" spans="1:20">
      <c r="A84" t="s">
        <v>808</v>
      </c>
      <c r="B84" t="s">
        <v>809</v>
      </c>
      <c r="C84" t="s">
        <v>217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78</v>
      </c>
      <c r="J84" t="s">
        <v>9</v>
      </c>
      <c r="K84" t="s">
        <v>597</v>
      </c>
      <c r="L84" t="s">
        <v>490</v>
      </c>
      <c r="M84" t="s">
        <v>815</v>
      </c>
      <c r="N84" t="s">
        <v>280</v>
      </c>
      <c r="O84" s="3">
        <f>HYPERLINK(".\.\export_data\inspection_reports\80518_wandsworth", ".\export_data\inspection_reports\80518_wandsworth")</f>
        <v>0</v>
      </c>
      <c r="P84" t="s">
        <v>78</v>
      </c>
      <c r="Q84" t="s">
        <v>78</v>
      </c>
      <c r="R84" t="s">
        <v>78</v>
      </c>
      <c r="S84" t="s">
        <v>78</v>
      </c>
      <c r="T84" t="s">
        <v>15</v>
      </c>
    </row>
    <row r="85" spans="1:20">
      <c r="A85" t="s">
        <v>816</v>
      </c>
      <c r="B85" t="s">
        <v>817</v>
      </c>
      <c r="C85" t="s">
        <v>217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78</v>
      </c>
      <c r="J85" t="s">
        <v>9</v>
      </c>
      <c r="K85" t="s">
        <v>106</v>
      </c>
      <c r="L85" t="s">
        <v>797</v>
      </c>
      <c r="M85" t="s">
        <v>798</v>
      </c>
      <c r="N85" t="s">
        <v>799</v>
      </c>
      <c r="O85" s="3">
        <f>HYPERLINK(".\.\export_data\inspection_reports\80519_westminster", ".\export_data\inspection_reports\80519_westminster")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28</v>
      </c>
    </row>
    <row r="86" spans="1:20">
      <c r="A86" t="s">
        <v>823</v>
      </c>
      <c r="B86" t="s">
        <v>824</v>
      </c>
      <c r="C86" t="s">
        <v>31</v>
      </c>
      <c r="D86" t="s">
        <v>825</v>
      </c>
      <c r="E86" t="s">
        <v>826</v>
      </c>
      <c r="F86" t="s">
        <v>827</v>
      </c>
      <c r="G86" t="s">
        <v>828</v>
      </c>
      <c r="H86" s="2" t="s">
        <v>829</v>
      </c>
      <c r="I86" t="s">
        <v>8</v>
      </c>
      <c r="J86" t="s">
        <v>48</v>
      </c>
      <c r="K86" t="s">
        <v>150</v>
      </c>
      <c r="L86" t="s">
        <v>830</v>
      </c>
      <c r="M86" t="s">
        <v>831</v>
      </c>
      <c r="N86" t="s">
        <v>734</v>
      </c>
      <c r="O86" s="3">
        <f>HYPERLINK(".\.\export_data\inspection_reports\80520_luton", ".\export_data\inspection_reports\80520_luton")</f>
        <v>0</v>
      </c>
      <c r="P86" t="s">
        <v>8</v>
      </c>
      <c r="Q86" t="s">
        <v>8</v>
      </c>
      <c r="R86" t="s">
        <v>8</v>
      </c>
      <c r="S86" t="s">
        <v>14</v>
      </c>
      <c r="T86" t="s">
        <v>53</v>
      </c>
    </row>
    <row r="87" spans="1:20">
      <c r="A87" t="s">
        <v>832</v>
      </c>
      <c r="B87" t="s">
        <v>833</v>
      </c>
      <c r="C87" t="s">
        <v>56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78</v>
      </c>
      <c r="J87" t="s">
        <v>48</v>
      </c>
      <c r="K87" t="s">
        <v>277</v>
      </c>
      <c r="L87" t="s">
        <v>839</v>
      </c>
      <c r="M87" t="s">
        <v>840</v>
      </c>
      <c r="N87" t="s">
        <v>841</v>
      </c>
      <c r="O87" s="3">
        <f>HYPERLINK(".\.\export_data\inspection_reports\80521_manchester", ".\export_data\inspection_reports\80521_manchester")</f>
        <v>0</v>
      </c>
      <c r="P87" t="s">
        <v>78</v>
      </c>
      <c r="Q87" t="s">
        <v>8</v>
      </c>
      <c r="R87" t="s">
        <v>78</v>
      </c>
      <c r="S87" t="s">
        <v>78</v>
      </c>
      <c r="T87" t="s">
        <v>15</v>
      </c>
    </row>
    <row r="88" spans="1:20">
      <c r="A88" t="s">
        <v>842</v>
      </c>
      <c r="B88" t="s">
        <v>843</v>
      </c>
      <c r="C88" t="s">
        <v>844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8</v>
      </c>
      <c r="J88" t="s">
        <v>48</v>
      </c>
      <c r="K88" t="s">
        <v>24</v>
      </c>
      <c r="L88" t="s">
        <v>850</v>
      </c>
      <c r="M88" t="s">
        <v>851</v>
      </c>
      <c r="N88" t="s">
        <v>852</v>
      </c>
      <c r="O88" s="3">
        <f>HYPERLINK(".\.\export_data\inspection_reports\80522_medway", ".\export_data\inspection_reports\80522_medway")</f>
        <v>0</v>
      </c>
      <c r="P88" t="s">
        <v>8</v>
      </c>
      <c r="Q88" t="s">
        <v>14</v>
      </c>
      <c r="R88" t="s">
        <v>8</v>
      </c>
      <c r="S88" t="s">
        <v>8</v>
      </c>
      <c r="T88" t="s">
        <v>28</v>
      </c>
    </row>
    <row r="89" spans="1:20">
      <c r="A89" t="s">
        <v>853</v>
      </c>
      <c r="B89" t="s">
        <v>854</v>
      </c>
      <c r="C89" t="s">
        <v>293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73</v>
      </c>
      <c r="J89" t="s">
        <v>48</v>
      </c>
      <c r="K89" t="s">
        <v>860</v>
      </c>
      <c r="L89" t="s">
        <v>75</v>
      </c>
      <c r="M89" t="s">
        <v>76</v>
      </c>
      <c r="N89" t="s">
        <v>77</v>
      </c>
      <c r="O89" s="3">
        <f>HYPERLINK(".\.\export_data\inspection_reports\80523_middlesbrough", ".\export_data\inspection_reports\80523_middlesbrough")</f>
        <v>0</v>
      </c>
      <c r="P89" t="s">
        <v>14</v>
      </c>
      <c r="Q89" t="s">
        <v>14</v>
      </c>
      <c r="R89" t="s">
        <v>14</v>
      </c>
      <c r="S89" t="s">
        <v>14</v>
      </c>
      <c r="T89" t="s">
        <v>120</v>
      </c>
    </row>
    <row r="90" spans="1:20">
      <c r="A90" t="s">
        <v>861</v>
      </c>
      <c r="B90" t="s">
        <v>862</v>
      </c>
      <c r="C90" t="s">
        <v>100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8</v>
      </c>
      <c r="J90" t="s">
        <v>48</v>
      </c>
      <c r="K90" t="s">
        <v>767</v>
      </c>
      <c r="L90" t="s">
        <v>868</v>
      </c>
      <c r="M90" t="s">
        <v>869</v>
      </c>
      <c r="N90" t="s">
        <v>870</v>
      </c>
      <c r="O90" s="3">
        <f>HYPERLINK(".\.\export_data\inspection_reports\80524_milton keynes", ".\export_data\inspection_reports\80524_milton keynes")</f>
        <v>0</v>
      </c>
      <c r="P90" t="s">
        <v>8</v>
      </c>
      <c r="Q90" t="s">
        <v>8</v>
      </c>
      <c r="R90" t="s">
        <v>8</v>
      </c>
      <c r="S90" t="s">
        <v>78</v>
      </c>
      <c r="T90" t="s">
        <v>433</v>
      </c>
    </row>
    <row r="91" spans="1:20">
      <c r="A91" t="s">
        <v>871</v>
      </c>
      <c r="B91" t="s">
        <v>872</v>
      </c>
      <c r="C91" t="s">
        <v>293</v>
      </c>
      <c r="D91" t="s">
        <v>873</v>
      </c>
      <c r="E91" t="s">
        <v>874</v>
      </c>
      <c r="F91" t="s">
        <v>875</v>
      </c>
      <c r="G91" t="s">
        <v>876</v>
      </c>
      <c r="H91" s="2" t="s">
        <v>877</v>
      </c>
      <c r="I91" t="s">
        <v>8</v>
      </c>
      <c r="J91" t="s">
        <v>9</v>
      </c>
      <c r="K91" t="s">
        <v>245</v>
      </c>
      <c r="L91" t="s">
        <v>878</v>
      </c>
      <c r="M91" t="s">
        <v>879</v>
      </c>
      <c r="N91" t="s">
        <v>880</v>
      </c>
      <c r="O91" s="3">
        <f>HYPERLINK(".\.\export_data\inspection_reports\80525_newcastle upon tyne", ".\export_data\inspection_reports\80525_newcastle upon tyne")</f>
        <v>0</v>
      </c>
      <c r="P91" t="s">
        <v>8</v>
      </c>
      <c r="Q91" t="s">
        <v>78</v>
      </c>
      <c r="R91" t="s">
        <v>8</v>
      </c>
      <c r="S91" t="s">
        <v>14</v>
      </c>
      <c r="T91" t="s">
        <v>87</v>
      </c>
    </row>
    <row r="92" spans="1:20">
      <c r="A92" t="s">
        <v>881</v>
      </c>
      <c r="B92" t="s">
        <v>882</v>
      </c>
      <c r="C92" t="s">
        <v>31</v>
      </c>
      <c r="D92" t="s">
        <v>883</v>
      </c>
      <c r="E92" t="s">
        <v>884</v>
      </c>
      <c r="F92" t="s">
        <v>885</v>
      </c>
      <c r="G92" t="s">
        <v>886</v>
      </c>
      <c r="H92" s="2" t="s">
        <v>887</v>
      </c>
      <c r="I92" t="s">
        <v>78</v>
      </c>
      <c r="J92" t="s">
        <v>9</v>
      </c>
      <c r="K92" t="s">
        <v>888</v>
      </c>
      <c r="L92" t="s">
        <v>889</v>
      </c>
      <c r="M92" t="s">
        <v>890</v>
      </c>
      <c r="N92" t="s">
        <v>280</v>
      </c>
      <c r="O92" s="3">
        <f>HYPERLINK(".\.\export_data\inspection_reports\80418_norfolk", ".\export_data\inspection_reports\80418_norfolk")</f>
        <v>0</v>
      </c>
      <c r="P92" t="s">
        <v>78</v>
      </c>
      <c r="Q92" t="s">
        <v>78</v>
      </c>
      <c r="R92" t="s">
        <v>78</v>
      </c>
      <c r="S92" t="s">
        <v>78</v>
      </c>
      <c r="T92" t="s">
        <v>433</v>
      </c>
    </row>
    <row r="93" spans="1:20">
      <c r="A93" t="s">
        <v>891</v>
      </c>
      <c r="B93" t="s">
        <v>892</v>
      </c>
      <c r="C93" t="s">
        <v>2</v>
      </c>
      <c r="D93" t="s">
        <v>893</v>
      </c>
      <c r="E93" t="s">
        <v>894</v>
      </c>
      <c r="F93" t="s">
        <v>895</v>
      </c>
      <c r="G93" t="s">
        <v>896</v>
      </c>
      <c r="H93" s="2" t="s">
        <v>897</v>
      </c>
      <c r="I93" t="s">
        <v>8</v>
      </c>
      <c r="J93" t="s">
        <v>48</v>
      </c>
      <c r="K93" t="s">
        <v>371</v>
      </c>
      <c r="L93" t="s">
        <v>37</v>
      </c>
      <c r="M93" t="s">
        <v>898</v>
      </c>
      <c r="N93" t="s">
        <v>899</v>
      </c>
      <c r="O93" s="3">
        <f>HYPERLINK(".\.\export_data\inspection_reports\80526_north east lincolnshire", ".\export_data\inspection_reports\80526_north east lincolnshire")</f>
        <v>0</v>
      </c>
      <c r="P93" t="s">
        <v>78</v>
      </c>
      <c r="Q93" t="s">
        <v>8</v>
      </c>
      <c r="R93" t="s">
        <v>8</v>
      </c>
      <c r="S93" t="s">
        <v>8</v>
      </c>
      <c r="T93" t="s">
        <v>28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78</v>
      </c>
      <c r="J94" t="s">
        <v>9</v>
      </c>
      <c r="K94" t="s">
        <v>498</v>
      </c>
      <c r="L94" t="s">
        <v>907</v>
      </c>
      <c r="M94" t="s">
        <v>908</v>
      </c>
      <c r="N94" t="s">
        <v>909</v>
      </c>
      <c r="O94" s="3">
        <f>HYPERLINK(".\.\export_data\inspection_reports\80527_north lincolnshire", ".\export_data\inspection_reports\80527_north lincolnshire")</f>
        <v>0</v>
      </c>
      <c r="P94" t="s">
        <v>78</v>
      </c>
      <c r="Q94" t="s">
        <v>78</v>
      </c>
      <c r="R94" t="s">
        <v>78</v>
      </c>
      <c r="S94" t="s">
        <v>8</v>
      </c>
      <c r="T94" t="s">
        <v>87</v>
      </c>
    </row>
    <row r="95" spans="1:20">
      <c r="A95" t="s">
        <v>910</v>
      </c>
      <c r="B95" t="s">
        <v>911</v>
      </c>
      <c r="C95" t="s">
        <v>304</v>
      </c>
      <c r="D95" t="s">
        <v>912</v>
      </c>
      <c r="E95" t="s">
        <v>913</v>
      </c>
      <c r="F95" t="s">
        <v>914</v>
      </c>
      <c r="G95" t="s">
        <v>915</v>
      </c>
      <c r="H95" s="2" t="s">
        <v>916</v>
      </c>
      <c r="I95" t="s">
        <v>73</v>
      </c>
      <c r="J95" t="s">
        <v>48</v>
      </c>
      <c r="K95" t="s">
        <v>917</v>
      </c>
      <c r="L95" t="s">
        <v>518</v>
      </c>
      <c r="M95" t="s">
        <v>519</v>
      </c>
      <c r="N95" t="s">
        <v>564</v>
      </c>
      <c r="O95" s="3">
        <f>HYPERLINK(".\.\export_data\inspection_reports\2637539_north northamptonshire", ".\export_data\inspection_reports\2637539_north northamptonshire")</f>
        <v>0</v>
      </c>
      <c r="P95" t="s">
        <v>78</v>
      </c>
      <c r="Q95" t="s">
        <v>8</v>
      </c>
      <c r="R95" t="s">
        <v>8</v>
      </c>
      <c r="S95" t="s">
        <v>8</v>
      </c>
      <c r="T95" t="s">
        <v>120</v>
      </c>
    </row>
    <row r="96" spans="1:20">
      <c r="A96" t="s">
        <v>918</v>
      </c>
      <c r="B96" t="s">
        <v>919</v>
      </c>
      <c r="C96" t="s">
        <v>18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10</v>
      </c>
      <c r="L96" t="s">
        <v>925</v>
      </c>
      <c r="M96" t="s">
        <v>926</v>
      </c>
      <c r="N96" t="s">
        <v>927</v>
      </c>
      <c r="O96" s="3">
        <f>HYPERLINK(".\.\export_data\inspection_reports\80528_north somerset", ".\export_data\inspection_reports\80528_north somerset")</f>
        <v>0</v>
      </c>
      <c r="P96" t="s">
        <v>14</v>
      </c>
      <c r="Q96" t="s">
        <v>14</v>
      </c>
      <c r="R96" t="s">
        <v>14</v>
      </c>
      <c r="S96" t="s">
        <v>8</v>
      </c>
      <c r="T96" t="s">
        <v>15</v>
      </c>
    </row>
    <row r="97" spans="1:20">
      <c r="A97" t="s">
        <v>928</v>
      </c>
      <c r="B97" t="s">
        <v>929</v>
      </c>
      <c r="C97" t="s">
        <v>293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78</v>
      </c>
      <c r="J97" t="s">
        <v>9</v>
      </c>
      <c r="K97" t="s">
        <v>371</v>
      </c>
      <c r="L97" t="s">
        <v>797</v>
      </c>
      <c r="M97" t="s">
        <v>798</v>
      </c>
      <c r="N97" t="s">
        <v>799</v>
      </c>
      <c r="O97" s="3">
        <f>HYPERLINK(".\.\export_data\inspection_reports\80529_north tyneside", ".\export_data\inspection_reports\80529_north tyneside")</f>
        <v>0</v>
      </c>
      <c r="P97" t="s">
        <v>78</v>
      </c>
      <c r="Q97" t="s">
        <v>78</v>
      </c>
      <c r="R97" t="s">
        <v>78</v>
      </c>
      <c r="S97" t="s">
        <v>78</v>
      </c>
      <c r="T97" t="s">
        <v>28</v>
      </c>
    </row>
    <row r="98" spans="1:20">
      <c r="A98" t="s">
        <v>935</v>
      </c>
      <c r="B98" t="s">
        <v>936</v>
      </c>
      <c r="C98" t="s">
        <v>2</v>
      </c>
      <c r="D98" t="s">
        <v>937</v>
      </c>
      <c r="E98" t="s">
        <v>938</v>
      </c>
      <c r="F98" t="s">
        <v>939</v>
      </c>
      <c r="G98" t="s">
        <v>940</v>
      </c>
      <c r="H98" s="2" t="s">
        <v>941</v>
      </c>
      <c r="I98" t="s">
        <v>78</v>
      </c>
      <c r="J98" t="s">
        <v>9</v>
      </c>
      <c r="K98" t="s">
        <v>942</v>
      </c>
      <c r="L98" t="s">
        <v>943</v>
      </c>
      <c r="M98" t="s">
        <v>944</v>
      </c>
      <c r="N98" t="s">
        <v>945</v>
      </c>
      <c r="O98" s="3">
        <f>HYPERLINK(".\.\export_data\inspection_reports\80530_north yorkshire", ".\export_data\inspection_reports\80530_north yorkshire")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120</v>
      </c>
    </row>
    <row r="99" spans="1:20">
      <c r="A99" t="s">
        <v>946</v>
      </c>
      <c r="B99" t="s">
        <v>947</v>
      </c>
      <c r="C99" t="s">
        <v>293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431</v>
      </c>
      <c r="N99" t="s">
        <v>432</v>
      </c>
      <c r="O99" s="3">
        <f>HYPERLINK(".\.\export_data\inspection_reports\80532_northumberland", ".\export_data\inspection_reports\80532_northumberland")</f>
        <v>0</v>
      </c>
      <c r="P99" t="s">
        <v>78</v>
      </c>
      <c r="Q99" t="s">
        <v>78</v>
      </c>
      <c r="R99" t="s">
        <v>8</v>
      </c>
      <c r="S99" t="s">
        <v>8</v>
      </c>
      <c r="T99" t="s">
        <v>433</v>
      </c>
    </row>
    <row r="100" spans="1:20">
      <c r="A100" t="s">
        <v>955</v>
      </c>
      <c r="B100" t="s">
        <v>956</v>
      </c>
      <c r="C100" t="s">
        <v>304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189</v>
      </c>
      <c r="J100" t="s">
        <v>117</v>
      </c>
      <c r="K100" t="s">
        <v>953</v>
      </c>
      <c r="N100" t="s">
        <v>962</v>
      </c>
      <c r="O100" s="3">
        <f>HYPERLINK(".\.\export_data\inspection_reports\80533_nottingham", ".\export_data\inspection_reports\80533_nottingham")</f>
        <v>0</v>
      </c>
      <c r="P100" t="s">
        <v>14</v>
      </c>
      <c r="Q100" t="s">
        <v>189</v>
      </c>
      <c r="R100" t="s">
        <v>14</v>
      </c>
      <c r="S100" t="s">
        <v>189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8</v>
      </c>
      <c r="J101" t="s">
        <v>9</v>
      </c>
      <c r="K101" t="s">
        <v>742</v>
      </c>
      <c r="L101" t="s">
        <v>954</v>
      </c>
      <c r="M101" t="s">
        <v>431</v>
      </c>
      <c r="N101" t="s">
        <v>432</v>
      </c>
      <c r="O101" s="3">
        <f>HYPERLINK(".\.\export_data\inspection_reports\80534_nottinghamshire", ".\export_data\inspection_reports\80534_nottinghamshire")</f>
        <v>0</v>
      </c>
      <c r="P101" t="s">
        <v>78</v>
      </c>
      <c r="Q101" t="s">
        <v>8</v>
      </c>
      <c r="R101" t="s">
        <v>8</v>
      </c>
      <c r="S101" t="s">
        <v>8</v>
      </c>
      <c r="T101" t="s">
        <v>53</v>
      </c>
    </row>
    <row r="102" spans="1:20">
      <c r="A102" t="s">
        <v>970</v>
      </c>
      <c r="B102" t="s">
        <v>971</v>
      </c>
      <c r="C102" t="s">
        <v>56</v>
      </c>
      <c r="D102" t="s">
        <v>972</v>
      </c>
      <c r="E102" t="s">
        <v>973</v>
      </c>
      <c r="F102" t="s">
        <v>974</v>
      </c>
      <c r="G102" t="s">
        <v>975</v>
      </c>
      <c r="H102" s="2" t="s">
        <v>976</v>
      </c>
      <c r="I102" t="s">
        <v>8</v>
      </c>
      <c r="J102" t="s">
        <v>48</v>
      </c>
      <c r="K102" t="s">
        <v>507</v>
      </c>
      <c r="L102" t="s">
        <v>430</v>
      </c>
      <c r="M102" t="s">
        <v>431</v>
      </c>
      <c r="N102" t="s">
        <v>432</v>
      </c>
      <c r="O102" s="3">
        <f>HYPERLINK(".\.\export_data\inspection_reports\80535_oldham", ".\export_data\inspection_reports\80535_oldham")</f>
        <v>0</v>
      </c>
      <c r="P102" t="s">
        <v>8</v>
      </c>
      <c r="Q102" t="s">
        <v>8</v>
      </c>
      <c r="R102" t="s">
        <v>8</v>
      </c>
      <c r="S102" t="s">
        <v>8</v>
      </c>
      <c r="T102" t="s">
        <v>15</v>
      </c>
    </row>
    <row r="103" spans="1:20">
      <c r="A103" t="s">
        <v>977</v>
      </c>
      <c r="B103" t="s">
        <v>978</v>
      </c>
      <c r="C103" t="s">
        <v>100</v>
      </c>
      <c r="D103" t="s">
        <v>979</v>
      </c>
      <c r="E103" t="s">
        <v>980</v>
      </c>
      <c r="F103" t="s">
        <v>981</v>
      </c>
      <c r="G103" t="s">
        <v>982</v>
      </c>
      <c r="H103" s="2" t="s">
        <v>983</v>
      </c>
      <c r="I103" t="s">
        <v>8</v>
      </c>
      <c r="J103" t="s">
        <v>48</v>
      </c>
      <c r="K103" t="s">
        <v>742</v>
      </c>
      <c r="L103" t="s">
        <v>984</v>
      </c>
      <c r="M103" t="s">
        <v>161</v>
      </c>
      <c r="N103" t="s">
        <v>985</v>
      </c>
      <c r="O103" s="3">
        <f>HYPERLINK(".\.\export_data\inspection_reports\80536_oxfordshire", ".\export_data\inspection_reports\80536_oxfordshire")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53</v>
      </c>
    </row>
    <row r="104" spans="1:20">
      <c r="A104" t="s">
        <v>986</v>
      </c>
      <c r="B104" t="s">
        <v>987</v>
      </c>
      <c r="C104" t="s">
        <v>31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189</v>
      </c>
      <c r="J104" t="s">
        <v>48</v>
      </c>
      <c r="K104" t="s">
        <v>993</v>
      </c>
      <c r="L104" t="s">
        <v>994</v>
      </c>
      <c r="M104" t="s">
        <v>995</v>
      </c>
      <c r="N104" t="s">
        <v>996</v>
      </c>
      <c r="O104" s="3">
        <f>HYPERLINK(".\.\export_data\inspection_reports\80537_peterborough", ".\export_data\inspection_reports\80537_peterborough")</f>
        <v>0</v>
      </c>
      <c r="P104" t="s">
        <v>14</v>
      </c>
      <c r="Q104" t="s">
        <v>14</v>
      </c>
      <c r="R104" t="s">
        <v>14</v>
      </c>
      <c r="S104" t="s">
        <v>189</v>
      </c>
      <c r="T104" t="s">
        <v>433</v>
      </c>
    </row>
    <row r="105" spans="1:20">
      <c r="A105" t="s">
        <v>997</v>
      </c>
      <c r="B105" t="s">
        <v>998</v>
      </c>
      <c r="C105" t="s">
        <v>18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14</v>
      </c>
      <c r="J105" t="s">
        <v>48</v>
      </c>
      <c r="K105" t="s">
        <v>128</v>
      </c>
      <c r="L105" t="s">
        <v>1004</v>
      </c>
      <c r="M105" t="s">
        <v>1005</v>
      </c>
      <c r="N105" t="s">
        <v>1006</v>
      </c>
      <c r="O105" s="3">
        <f>HYPERLINK(".\.\export_data\inspection_reports\80538_plymouth", ".\export_data\inspection_reports\80538_plymouth")</f>
        <v>0</v>
      </c>
      <c r="P105" t="s">
        <v>14</v>
      </c>
      <c r="Q105" t="s">
        <v>14</v>
      </c>
      <c r="R105" t="s">
        <v>14</v>
      </c>
      <c r="S105" t="s">
        <v>14</v>
      </c>
      <c r="T105" t="s">
        <v>15</v>
      </c>
    </row>
    <row r="106" spans="1:20">
      <c r="A106" t="s">
        <v>1007</v>
      </c>
      <c r="B106" t="s">
        <v>1008</v>
      </c>
      <c r="C106" t="s">
        <v>100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73</v>
      </c>
      <c r="J106" t="s">
        <v>9</v>
      </c>
      <c r="K106" t="s">
        <v>1014</v>
      </c>
      <c r="L106" t="s">
        <v>361</v>
      </c>
      <c r="M106" t="s">
        <v>1015</v>
      </c>
      <c r="N106" t="s">
        <v>1016</v>
      </c>
      <c r="O106" s="3">
        <f>HYPERLINK(".\.\export_data\inspection_reports\80539_portsmouth", ".\export_data\inspection_reports\80539_portsmouth")</f>
        <v>0</v>
      </c>
      <c r="P106" t="s">
        <v>78</v>
      </c>
      <c r="Q106" t="s">
        <v>78</v>
      </c>
      <c r="R106" t="s">
        <v>78</v>
      </c>
      <c r="S106" t="s">
        <v>78</v>
      </c>
      <c r="T106" t="s">
        <v>433</v>
      </c>
    </row>
    <row r="107" spans="1:20">
      <c r="A107" t="s">
        <v>1017</v>
      </c>
      <c r="B107" t="s">
        <v>1018</v>
      </c>
      <c r="C107" t="s">
        <v>100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14</v>
      </c>
      <c r="J107" t="s">
        <v>48</v>
      </c>
      <c r="K107" t="s">
        <v>223</v>
      </c>
      <c r="L107" t="s">
        <v>545</v>
      </c>
      <c r="M107" t="s">
        <v>546</v>
      </c>
      <c r="N107" t="s">
        <v>432</v>
      </c>
      <c r="O107" s="3">
        <f>HYPERLINK(".\.\export_data\inspection_reports\80540_reading", ".\export_data\inspection_reports\80540_reading")</f>
        <v>0</v>
      </c>
      <c r="P107" t="s">
        <v>14</v>
      </c>
      <c r="Q107" t="s">
        <v>14</v>
      </c>
      <c r="R107" t="s">
        <v>8</v>
      </c>
      <c r="S107" t="s">
        <v>8</v>
      </c>
      <c r="T107" t="s">
        <v>227</v>
      </c>
    </row>
    <row r="108" spans="1:20">
      <c r="A108" t="s">
        <v>1024</v>
      </c>
      <c r="B108" t="s">
        <v>1025</v>
      </c>
      <c r="C108" t="s">
        <v>293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8</v>
      </c>
      <c r="J108" t="s">
        <v>48</v>
      </c>
      <c r="K108" t="s">
        <v>245</v>
      </c>
      <c r="L108" t="s">
        <v>1031</v>
      </c>
      <c r="M108" t="s">
        <v>108</v>
      </c>
      <c r="N108" t="s">
        <v>109</v>
      </c>
      <c r="O108" s="3">
        <f>HYPERLINK(".\.\export_data\inspection_reports\80541_redcar and cleveland", ".\export_data\inspection_reports\80541_redcar and cleveland")</f>
        <v>0</v>
      </c>
      <c r="P108" t="s">
        <v>8</v>
      </c>
      <c r="Q108" t="s">
        <v>8</v>
      </c>
      <c r="R108" t="s">
        <v>14</v>
      </c>
      <c r="S108" t="s">
        <v>8</v>
      </c>
      <c r="T108" t="s">
        <v>87</v>
      </c>
    </row>
    <row r="109" spans="1:20">
      <c r="A109" t="s">
        <v>1032</v>
      </c>
      <c r="B109" t="s">
        <v>1033</v>
      </c>
      <c r="C109" t="s">
        <v>56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14</v>
      </c>
      <c r="J109" t="s">
        <v>48</v>
      </c>
      <c r="K109" t="s">
        <v>86</v>
      </c>
      <c r="L109" t="s">
        <v>1039</v>
      </c>
      <c r="M109" t="s">
        <v>1040</v>
      </c>
      <c r="N109" t="s">
        <v>1041</v>
      </c>
      <c r="O109" s="3">
        <f>HYPERLINK(".\.\export_data\inspection_reports\80542_rochdale", ".\export_data\inspection_reports\80542_rochdale")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87</v>
      </c>
    </row>
    <row r="110" spans="1:20">
      <c r="A110" t="s">
        <v>1042</v>
      </c>
      <c r="B110" t="s">
        <v>1043</v>
      </c>
      <c r="C110" t="s">
        <v>2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78</v>
      </c>
      <c r="J110" t="s">
        <v>9</v>
      </c>
      <c r="K110" t="s">
        <v>211</v>
      </c>
      <c r="L110" t="s">
        <v>480</v>
      </c>
      <c r="M110" t="s">
        <v>481</v>
      </c>
      <c r="N110" t="s">
        <v>1049</v>
      </c>
      <c r="O110" s="3">
        <f>HYPERLINK(".\.\export_data\inspection_reports\80543_rotherham", ".\export_data\inspection_reports\80543_rotherham")</f>
        <v>0</v>
      </c>
      <c r="P110" t="s">
        <v>78</v>
      </c>
      <c r="Q110" t="s">
        <v>78</v>
      </c>
      <c r="R110" t="s">
        <v>78</v>
      </c>
      <c r="S110" t="s">
        <v>8</v>
      </c>
      <c r="T110" t="s">
        <v>53</v>
      </c>
    </row>
    <row r="111" spans="1:20">
      <c r="A111" t="s">
        <v>1050</v>
      </c>
      <c r="B111" t="s">
        <v>1051</v>
      </c>
      <c r="C111" t="s">
        <v>217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139</v>
      </c>
      <c r="L111" t="s">
        <v>797</v>
      </c>
      <c r="M111" t="s">
        <v>798</v>
      </c>
      <c r="N111" t="s">
        <v>799</v>
      </c>
      <c r="O111" s="3">
        <f>HYPERLINK(".\.\export_data\inspection_reports\80544_kensington and chelsea", ".\export_data\inspection_reports\80544_kensington and chelsea")</f>
        <v>0</v>
      </c>
      <c r="P111" t="s">
        <v>78</v>
      </c>
      <c r="Q111" t="s">
        <v>78</v>
      </c>
      <c r="R111" t="s">
        <v>8</v>
      </c>
      <c r="S111" t="s">
        <v>78</v>
      </c>
      <c r="T111" t="s">
        <v>87</v>
      </c>
    </row>
    <row r="112" spans="1:20">
      <c r="A112" t="s">
        <v>1057</v>
      </c>
      <c r="B112" t="s">
        <v>1058</v>
      </c>
      <c r="C112" t="s">
        <v>217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78</v>
      </c>
      <c r="J112" t="s">
        <v>9</v>
      </c>
      <c r="K112" t="s">
        <v>742</v>
      </c>
      <c r="L112" t="s">
        <v>95</v>
      </c>
      <c r="M112" t="s">
        <v>413</v>
      </c>
      <c r="N112" t="s">
        <v>97</v>
      </c>
      <c r="O112" s="3">
        <f>HYPERLINK(".\.\export_data\inspection_reports\80545_kingston upon thames", ".\export_data\inspection_reports\80545_kingston upon thames")</f>
        <v>0</v>
      </c>
      <c r="P112" t="s">
        <v>78</v>
      </c>
      <c r="Q112" t="s">
        <v>78</v>
      </c>
      <c r="R112" t="s">
        <v>78</v>
      </c>
      <c r="S112" t="s">
        <v>78</v>
      </c>
      <c r="T112" t="s">
        <v>53</v>
      </c>
    </row>
    <row r="113" spans="1:20">
      <c r="A113" t="s">
        <v>1064</v>
      </c>
      <c r="B113" t="s">
        <v>1065</v>
      </c>
      <c r="C113" t="s">
        <v>100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8</v>
      </c>
      <c r="J113" t="s">
        <v>9</v>
      </c>
      <c r="K113" t="s">
        <v>608</v>
      </c>
      <c r="L113" t="s">
        <v>288</v>
      </c>
      <c r="M113" t="s">
        <v>331</v>
      </c>
      <c r="N113" t="s">
        <v>1071</v>
      </c>
      <c r="O113" s="3">
        <f>HYPERLINK(".\.\export_data\inspection_reports\80546_windsor &amp; maidenhead", ".\export_data\inspection_reports\80546_windsor &amp; maidenhead")</f>
        <v>0</v>
      </c>
      <c r="P113" t="s">
        <v>8</v>
      </c>
      <c r="Q113" t="s">
        <v>8</v>
      </c>
      <c r="R113" t="s">
        <v>8</v>
      </c>
      <c r="S113" t="s">
        <v>78</v>
      </c>
      <c r="T113" t="s">
        <v>87</v>
      </c>
    </row>
    <row r="114" spans="1:20">
      <c r="A114" t="s">
        <v>1072</v>
      </c>
      <c r="B114" t="s">
        <v>1073</v>
      </c>
      <c r="C114" t="s">
        <v>304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48</v>
      </c>
      <c r="K114" t="s">
        <v>498</v>
      </c>
      <c r="L114" t="s">
        <v>1079</v>
      </c>
      <c r="M114" t="s">
        <v>1080</v>
      </c>
      <c r="N114" t="s">
        <v>432</v>
      </c>
      <c r="O114" s="3">
        <f>HYPERLINK(".\.\export_data\inspection_reports\80547_rutland", ".\export_data\inspection_reports\80547_rutland")</f>
        <v>0</v>
      </c>
      <c r="P114" t="s">
        <v>8</v>
      </c>
      <c r="Q114" t="s">
        <v>8</v>
      </c>
      <c r="R114" t="s">
        <v>8</v>
      </c>
      <c r="S114" t="s">
        <v>8</v>
      </c>
      <c r="T114" t="s">
        <v>87</v>
      </c>
    </row>
    <row r="115" spans="1:20">
      <c r="A115" t="s">
        <v>1081</v>
      </c>
      <c r="B115" t="s">
        <v>1082</v>
      </c>
      <c r="C115" t="s">
        <v>56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9</v>
      </c>
      <c r="K115" t="s">
        <v>1088</v>
      </c>
      <c r="L115" t="s">
        <v>1089</v>
      </c>
      <c r="M115" t="s">
        <v>321</v>
      </c>
      <c r="N115" t="s">
        <v>322</v>
      </c>
      <c r="O115" s="3">
        <f>HYPERLINK(".\.\export_data\inspection_reports\80548_salford", ".\export_data\inspection_reports\80548_salford")</f>
        <v>0</v>
      </c>
      <c r="P115" t="s">
        <v>78</v>
      </c>
      <c r="Q115" t="s">
        <v>8</v>
      </c>
      <c r="R115" t="s">
        <v>8</v>
      </c>
      <c r="S115" t="s">
        <v>78</v>
      </c>
      <c r="T115" t="s">
        <v>433</v>
      </c>
    </row>
    <row r="116" spans="1:20">
      <c r="A116" t="s">
        <v>1090</v>
      </c>
      <c r="B116" t="s">
        <v>1091</v>
      </c>
      <c r="C116" t="s">
        <v>42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48</v>
      </c>
      <c r="K116" t="s">
        <v>597</v>
      </c>
      <c r="L116" t="s">
        <v>1097</v>
      </c>
      <c r="M116" t="s">
        <v>1098</v>
      </c>
      <c r="N116" t="s">
        <v>1099</v>
      </c>
      <c r="O116" s="3">
        <f>HYPERLINK(".\.\export_data\inspection_reports\80549_sandwell", ".\export_data\inspection_reports\80549_sandwell")</f>
        <v>0</v>
      </c>
      <c r="P116" t="s">
        <v>8</v>
      </c>
      <c r="Q116" t="s">
        <v>8</v>
      </c>
      <c r="R116" t="s">
        <v>8</v>
      </c>
      <c r="S116" t="s">
        <v>14</v>
      </c>
      <c r="T116" t="s">
        <v>15</v>
      </c>
    </row>
    <row r="117" spans="1:20">
      <c r="A117" t="s">
        <v>1100</v>
      </c>
      <c r="B117" t="s">
        <v>1101</v>
      </c>
      <c r="C117" t="s">
        <v>56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86</v>
      </c>
      <c r="L117" t="s">
        <v>1107</v>
      </c>
      <c r="M117" t="s">
        <v>529</v>
      </c>
      <c r="N117" t="s">
        <v>530</v>
      </c>
      <c r="O117" s="3">
        <f>HYPERLINK(".\.\export_data\inspection_reports\80550_sefton", ".\export_data\inspection_reports\80550_sefton")</f>
        <v>0</v>
      </c>
      <c r="P117" t="s">
        <v>8</v>
      </c>
      <c r="Q117" t="s">
        <v>14</v>
      </c>
      <c r="R117" t="s">
        <v>8</v>
      </c>
      <c r="S117" t="s">
        <v>8</v>
      </c>
      <c r="T117" t="s">
        <v>87</v>
      </c>
    </row>
    <row r="118" spans="1:20">
      <c r="A118" t="s">
        <v>1108</v>
      </c>
      <c r="B118" t="s">
        <v>1109</v>
      </c>
      <c r="C118" t="s">
        <v>2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498</v>
      </c>
      <c r="L118" t="s">
        <v>11</v>
      </c>
      <c r="M118" t="s">
        <v>1115</v>
      </c>
      <c r="N118" t="s">
        <v>1116</v>
      </c>
      <c r="O118" s="3">
        <f>HYPERLINK(".\.\export_data\inspection_reports\80551_sheffield", ".\export_data\inspection_reports\80551_sheffield")</f>
        <v>0</v>
      </c>
      <c r="P118" t="s">
        <v>8</v>
      </c>
      <c r="Q118" t="s">
        <v>8</v>
      </c>
      <c r="R118" t="s">
        <v>78</v>
      </c>
      <c r="S118" t="s">
        <v>8</v>
      </c>
      <c r="T118" t="s">
        <v>87</v>
      </c>
    </row>
    <row r="119" spans="1:20">
      <c r="A119" t="s">
        <v>1117</v>
      </c>
      <c r="B119" t="s">
        <v>1118</v>
      </c>
      <c r="C119" t="s">
        <v>42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78</v>
      </c>
      <c r="J119" t="s">
        <v>48</v>
      </c>
      <c r="K119" t="s">
        <v>733</v>
      </c>
      <c r="L119" t="s">
        <v>1107</v>
      </c>
      <c r="M119" t="s">
        <v>529</v>
      </c>
      <c r="N119" t="s">
        <v>530</v>
      </c>
      <c r="O119" s="3">
        <f>HYPERLINK(".\.\export_data\inspection_reports\80552_shropshire", ".\export_data\inspection_reports\80552_shropshire")</f>
        <v>0</v>
      </c>
      <c r="P119" t="s">
        <v>78</v>
      </c>
      <c r="Q119" t="s">
        <v>78</v>
      </c>
      <c r="R119" t="s">
        <v>78</v>
      </c>
      <c r="S119" t="s">
        <v>8</v>
      </c>
      <c r="T119" t="s">
        <v>53</v>
      </c>
    </row>
    <row r="120" spans="1:20">
      <c r="A120" t="s">
        <v>1124</v>
      </c>
      <c r="B120" t="s">
        <v>1125</v>
      </c>
      <c r="C120" t="s">
        <v>100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73</v>
      </c>
      <c r="J120" t="s">
        <v>48</v>
      </c>
      <c r="K120" t="s">
        <v>608</v>
      </c>
      <c r="L120" t="s">
        <v>361</v>
      </c>
      <c r="M120" t="s">
        <v>362</v>
      </c>
      <c r="N120" t="s">
        <v>363</v>
      </c>
      <c r="O120" s="3">
        <f>HYPERLINK(".\.\export_data\inspection_reports\80553_slough", ".\export_data\inspection_reports\80553_slough")</f>
        <v>0</v>
      </c>
      <c r="P120" t="s">
        <v>189</v>
      </c>
      <c r="Q120" t="s">
        <v>189</v>
      </c>
      <c r="R120" t="s">
        <v>189</v>
      </c>
      <c r="S120" t="s">
        <v>189</v>
      </c>
      <c r="T120" t="s">
        <v>87</v>
      </c>
    </row>
    <row r="121" spans="1:20">
      <c r="A121" t="s">
        <v>1131</v>
      </c>
      <c r="B121" t="s">
        <v>1132</v>
      </c>
      <c r="C121" t="s">
        <v>42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8</v>
      </c>
      <c r="J121" t="s">
        <v>48</v>
      </c>
      <c r="K121" t="s">
        <v>1014</v>
      </c>
      <c r="L121" t="s">
        <v>480</v>
      </c>
      <c r="M121" t="s">
        <v>759</v>
      </c>
      <c r="N121" t="s">
        <v>462</v>
      </c>
      <c r="O121" s="3">
        <f>HYPERLINK(".\.\export_data\inspection_reports\80554_solihull", ".\export_data\inspection_reports\80554_solihull")</f>
        <v>0</v>
      </c>
      <c r="P121" t="s">
        <v>8</v>
      </c>
      <c r="Q121" t="s">
        <v>8</v>
      </c>
      <c r="R121" t="s">
        <v>14</v>
      </c>
      <c r="S121" t="s">
        <v>8</v>
      </c>
      <c r="T121" t="s">
        <v>433</v>
      </c>
    </row>
    <row r="122" spans="1:20">
      <c r="A122" t="s">
        <v>1138</v>
      </c>
      <c r="B122" t="s">
        <v>1139</v>
      </c>
      <c r="C122" t="s">
        <v>18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73</v>
      </c>
      <c r="J122" t="s">
        <v>9</v>
      </c>
      <c r="K122" t="s">
        <v>200</v>
      </c>
      <c r="L122" t="s">
        <v>598</v>
      </c>
      <c r="M122" t="s">
        <v>599</v>
      </c>
      <c r="N122" t="s">
        <v>600</v>
      </c>
      <c r="O122" s="3">
        <f>HYPERLINK(".\.\export_data\inspection_reports\80555_somerset", ".\export_data\inspection_reports\80555_somerset")</f>
        <v>0</v>
      </c>
      <c r="P122" t="s">
        <v>14</v>
      </c>
      <c r="Q122" t="s">
        <v>14</v>
      </c>
      <c r="R122" t="s">
        <v>14</v>
      </c>
      <c r="S122" t="s">
        <v>8</v>
      </c>
      <c r="T122" t="s">
        <v>53</v>
      </c>
    </row>
    <row r="123" spans="1:20">
      <c r="A123" t="s">
        <v>1145</v>
      </c>
      <c r="B123" t="s">
        <v>1146</v>
      </c>
      <c r="C123" t="s">
        <v>18</v>
      </c>
      <c r="D123" t="s">
        <v>1147</v>
      </c>
      <c r="E123" t="s">
        <v>1148</v>
      </c>
      <c r="F123" t="s">
        <v>1149</v>
      </c>
      <c r="G123" t="s">
        <v>1150</v>
      </c>
      <c r="H123" s="2" t="s">
        <v>1151</v>
      </c>
      <c r="I123" t="s">
        <v>8</v>
      </c>
      <c r="J123" t="s">
        <v>48</v>
      </c>
      <c r="K123" t="s">
        <v>10</v>
      </c>
      <c r="L123" t="s">
        <v>652</v>
      </c>
      <c r="M123" t="s">
        <v>442</v>
      </c>
      <c r="N123" t="s">
        <v>443</v>
      </c>
      <c r="O123" s="3">
        <f>HYPERLINK(".\.\export_data\inspection_reports\80556_south gloucestershire", ".\export_data\inspection_reports\80556_south gloucestershire")</f>
        <v>0</v>
      </c>
      <c r="P123" t="s">
        <v>8</v>
      </c>
      <c r="Q123" t="s">
        <v>8</v>
      </c>
      <c r="R123" t="s">
        <v>8</v>
      </c>
      <c r="S123" t="s">
        <v>8</v>
      </c>
      <c r="T123" t="s">
        <v>15</v>
      </c>
    </row>
    <row r="124" spans="1:20">
      <c r="A124" t="s">
        <v>1152</v>
      </c>
      <c r="B124" t="s">
        <v>1153</v>
      </c>
      <c r="C124" t="s">
        <v>293</v>
      </c>
      <c r="D124" t="s">
        <v>1154</v>
      </c>
      <c r="E124" t="s">
        <v>1155</v>
      </c>
      <c r="F124" t="s">
        <v>1156</v>
      </c>
      <c r="G124" t="s">
        <v>1157</v>
      </c>
      <c r="H124" s="2" t="s">
        <v>1158</v>
      </c>
      <c r="I124" t="s">
        <v>73</v>
      </c>
      <c r="J124" t="s">
        <v>48</v>
      </c>
      <c r="K124" t="s">
        <v>62</v>
      </c>
      <c r="L124" t="s">
        <v>1159</v>
      </c>
      <c r="M124" t="s">
        <v>1160</v>
      </c>
      <c r="N124" t="s">
        <v>1161</v>
      </c>
      <c r="O124" s="3">
        <f>HYPERLINK(".\.\export_data\inspection_reports\80557_south tyneside", ".\export_data\inspection_reports\80557_south tyneside")</f>
        <v>0</v>
      </c>
      <c r="P124" t="s">
        <v>8</v>
      </c>
      <c r="Q124" t="s">
        <v>8</v>
      </c>
      <c r="R124" t="s">
        <v>8</v>
      </c>
      <c r="S124" t="s">
        <v>78</v>
      </c>
      <c r="T124" t="s">
        <v>53</v>
      </c>
    </row>
    <row r="125" spans="1:20">
      <c r="A125" t="s">
        <v>1162</v>
      </c>
      <c r="B125" t="s">
        <v>1163</v>
      </c>
      <c r="C125" t="s">
        <v>100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8</v>
      </c>
      <c r="J125" t="s">
        <v>48</v>
      </c>
      <c r="K125" t="s">
        <v>390</v>
      </c>
      <c r="L125" t="s">
        <v>1169</v>
      </c>
      <c r="M125" t="s">
        <v>1170</v>
      </c>
      <c r="N125" t="s">
        <v>1171</v>
      </c>
      <c r="O125" s="3">
        <f>HYPERLINK(".\.\export_data\inspection_reports\80558_southampton", ".\export_data\inspection_reports\80558_southampton")</f>
        <v>0</v>
      </c>
      <c r="P125" t="s">
        <v>78</v>
      </c>
      <c r="Q125" t="s">
        <v>8</v>
      </c>
      <c r="R125" t="s">
        <v>8</v>
      </c>
      <c r="S125" t="s">
        <v>8</v>
      </c>
      <c r="T125" t="s">
        <v>394</v>
      </c>
    </row>
    <row r="126" spans="1:20">
      <c r="A126" t="s">
        <v>1172</v>
      </c>
      <c r="B126" t="s">
        <v>1173</v>
      </c>
      <c r="C126" t="s">
        <v>31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74</v>
      </c>
      <c r="L126" t="s">
        <v>625</v>
      </c>
      <c r="M126" t="s">
        <v>626</v>
      </c>
      <c r="N126" t="s">
        <v>627</v>
      </c>
      <c r="O126" s="3">
        <f>HYPERLINK(".\.\export_data\inspection_reports\80559_southend-on-sea", ".\export_data\inspection_reports\80559_southend-on-sea")</f>
        <v>0</v>
      </c>
      <c r="P126" t="s">
        <v>8</v>
      </c>
      <c r="Q126" t="s">
        <v>8</v>
      </c>
      <c r="R126" t="s">
        <v>14</v>
      </c>
      <c r="S126" t="s">
        <v>8</v>
      </c>
      <c r="T126" t="s">
        <v>28</v>
      </c>
    </row>
    <row r="127" spans="1:20">
      <c r="A127" t="s">
        <v>1179</v>
      </c>
      <c r="B127" t="s">
        <v>1180</v>
      </c>
      <c r="C127" t="s">
        <v>56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993</v>
      </c>
      <c r="L127" t="s">
        <v>572</v>
      </c>
      <c r="M127" t="s">
        <v>573</v>
      </c>
      <c r="N127" t="s">
        <v>574</v>
      </c>
      <c r="O127" s="3">
        <f>HYPERLINK(".\.\export_data\inspection_reports\80560_st helens", ".\export_data\inspection_reports\80560_st helens")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433</v>
      </c>
    </row>
    <row r="128" spans="1:20">
      <c r="A128" t="s">
        <v>1186</v>
      </c>
      <c r="B128" t="s">
        <v>1187</v>
      </c>
      <c r="C128" t="s">
        <v>42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14</v>
      </c>
      <c r="J128" t="s">
        <v>9</v>
      </c>
      <c r="K128" t="s">
        <v>200</v>
      </c>
      <c r="L128" t="s">
        <v>1089</v>
      </c>
      <c r="M128" t="s">
        <v>321</v>
      </c>
      <c r="N128" t="s">
        <v>322</v>
      </c>
      <c r="O128" s="3">
        <f>HYPERLINK(".\.\export_data\inspection_reports\80561_staffordshire", ".\export_data\inspection_reports\80561_staffordshire")</f>
        <v>0</v>
      </c>
      <c r="P128" t="s">
        <v>14</v>
      </c>
      <c r="Q128" t="s">
        <v>14</v>
      </c>
      <c r="R128" t="s">
        <v>8</v>
      </c>
      <c r="S128" t="s">
        <v>14</v>
      </c>
      <c r="T128" t="s">
        <v>53</v>
      </c>
    </row>
    <row r="129" spans="1:20">
      <c r="A129" t="s">
        <v>1193</v>
      </c>
      <c r="B129" t="s">
        <v>1194</v>
      </c>
      <c r="C129" t="s">
        <v>56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48</v>
      </c>
      <c r="K129" t="s">
        <v>429</v>
      </c>
      <c r="L129" t="s">
        <v>878</v>
      </c>
      <c r="M129" t="s">
        <v>311</v>
      </c>
      <c r="N129" t="s">
        <v>1200</v>
      </c>
      <c r="O129" s="3">
        <f>HYPERLINK(".\.\export_data\inspection_reports\80562_stockport", ".\export_data\inspection_reports\80562_stockport")</f>
        <v>0</v>
      </c>
      <c r="P129" t="s">
        <v>14</v>
      </c>
      <c r="Q129" t="s">
        <v>14</v>
      </c>
      <c r="R129" t="s">
        <v>14</v>
      </c>
      <c r="S129" t="s">
        <v>8</v>
      </c>
      <c r="T129" t="s">
        <v>433</v>
      </c>
    </row>
    <row r="130" spans="1:20">
      <c r="A130" t="s">
        <v>1201</v>
      </c>
      <c r="B130" t="s">
        <v>1202</v>
      </c>
      <c r="C130" t="s">
        <v>293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1208</v>
      </c>
      <c r="L130" t="s">
        <v>1209</v>
      </c>
      <c r="M130" t="s">
        <v>1210</v>
      </c>
      <c r="N130" t="s">
        <v>1211</v>
      </c>
      <c r="O130" s="3">
        <f>HYPERLINK(".\.\export_data\inspection_reports\80563_stockton-on-tees", ".\export_data\inspection_reports\80563_stockton-on-tees")</f>
        <v>0</v>
      </c>
      <c r="P130" t="s">
        <v>14</v>
      </c>
      <c r="Q130" t="s">
        <v>14</v>
      </c>
      <c r="R130" t="s">
        <v>14</v>
      </c>
      <c r="S130" t="s">
        <v>14</v>
      </c>
      <c r="T130" t="s">
        <v>120</v>
      </c>
    </row>
    <row r="131" spans="1:20">
      <c r="A131" t="s">
        <v>1212</v>
      </c>
      <c r="B131" t="s">
        <v>1213</v>
      </c>
      <c r="C131" t="s">
        <v>42</v>
      </c>
      <c r="D131" t="s">
        <v>1214</v>
      </c>
      <c r="E131" t="s">
        <v>1215</v>
      </c>
      <c r="F131" t="s">
        <v>1216</v>
      </c>
      <c r="G131" t="s">
        <v>1217</v>
      </c>
      <c r="H131" s="2" t="s">
        <v>1218</v>
      </c>
      <c r="I131" t="s">
        <v>14</v>
      </c>
      <c r="J131" t="s">
        <v>48</v>
      </c>
      <c r="K131" t="s">
        <v>49</v>
      </c>
      <c r="L131" t="s">
        <v>878</v>
      </c>
      <c r="M131" t="s">
        <v>311</v>
      </c>
      <c r="N131" t="s">
        <v>1200</v>
      </c>
      <c r="O131" s="3">
        <f>HYPERLINK(".\.\export_data\inspection_reports\80564_stoke-on-trent", ".\export_data\inspection_reports\80564_stoke-on-trent")</f>
        <v>0</v>
      </c>
      <c r="P131" t="s">
        <v>14</v>
      </c>
      <c r="Q131" t="s">
        <v>14</v>
      </c>
      <c r="R131" t="s">
        <v>8</v>
      </c>
      <c r="S131" t="s">
        <v>14</v>
      </c>
      <c r="T131" t="s">
        <v>53</v>
      </c>
    </row>
    <row r="132" spans="1:20">
      <c r="A132" t="s">
        <v>1219</v>
      </c>
      <c r="B132" t="s">
        <v>1220</v>
      </c>
      <c r="C132" t="s">
        <v>31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9</v>
      </c>
      <c r="K132" t="s">
        <v>179</v>
      </c>
      <c r="L132" t="s">
        <v>652</v>
      </c>
      <c r="M132" t="s">
        <v>653</v>
      </c>
      <c r="N132" t="s">
        <v>1226</v>
      </c>
      <c r="O132" s="3">
        <f>HYPERLINK(".\.\export_data\inspection_reports\80565_suffolk", ".\export_data\inspection_reports\80565_suffolk")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293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78</v>
      </c>
      <c r="J133" t="s">
        <v>9</v>
      </c>
      <c r="K133" t="s">
        <v>379</v>
      </c>
      <c r="L133" t="s">
        <v>140</v>
      </c>
      <c r="M133" t="s">
        <v>342</v>
      </c>
      <c r="N133" t="s">
        <v>1234</v>
      </c>
      <c r="O133" s="3">
        <f>HYPERLINK(".\.\export_data\inspection_reports\80566_sunderland", ".\export_data\inspection_reports\80566_sunderland")</f>
        <v>0</v>
      </c>
      <c r="P133" t="s">
        <v>78</v>
      </c>
      <c r="Q133" t="s">
        <v>78</v>
      </c>
      <c r="R133" t="s">
        <v>78</v>
      </c>
      <c r="S133" t="s">
        <v>8</v>
      </c>
      <c r="T133" t="s">
        <v>15</v>
      </c>
    </row>
    <row r="134" spans="1:20">
      <c r="A134" t="s">
        <v>1235</v>
      </c>
      <c r="B134" t="s">
        <v>1236</v>
      </c>
      <c r="C134" t="s">
        <v>100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8</v>
      </c>
      <c r="J134" t="s">
        <v>48</v>
      </c>
      <c r="K134" t="s">
        <v>498</v>
      </c>
      <c r="L134" t="s">
        <v>351</v>
      </c>
      <c r="M134" t="s">
        <v>236</v>
      </c>
      <c r="N134" t="s">
        <v>353</v>
      </c>
      <c r="O134" s="3">
        <f>HYPERLINK(".\.\export_data\inspection_reports\80567_surrey", ".\export_data\inspection_reports\80567_surrey")</f>
        <v>0</v>
      </c>
      <c r="P134" t="s">
        <v>8</v>
      </c>
      <c r="Q134" t="s">
        <v>8</v>
      </c>
      <c r="R134" t="s">
        <v>8</v>
      </c>
      <c r="S134" t="s">
        <v>8</v>
      </c>
      <c r="T134" t="s">
        <v>87</v>
      </c>
    </row>
    <row r="135" spans="1:20">
      <c r="A135" t="s">
        <v>1242</v>
      </c>
      <c r="B135" t="s">
        <v>1243</v>
      </c>
      <c r="C135" t="s">
        <v>18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189</v>
      </c>
      <c r="J135" t="s">
        <v>48</v>
      </c>
      <c r="K135" t="s">
        <v>139</v>
      </c>
      <c r="L135" t="s">
        <v>850</v>
      </c>
      <c r="M135" t="s">
        <v>851</v>
      </c>
      <c r="N135" t="s">
        <v>852</v>
      </c>
      <c r="O135" s="3">
        <f>HYPERLINK(".\.\export_data\inspection_reports\80568_swindon", ".\export_data\inspection_reports\80568_swindon")</f>
        <v>0</v>
      </c>
      <c r="P135" t="s">
        <v>189</v>
      </c>
      <c r="Q135" t="s">
        <v>189</v>
      </c>
      <c r="R135" t="s">
        <v>189</v>
      </c>
      <c r="S135" t="s">
        <v>14</v>
      </c>
      <c r="T135" t="s">
        <v>87</v>
      </c>
    </row>
    <row r="136" spans="1:20">
      <c r="A136" t="s">
        <v>1249</v>
      </c>
      <c r="B136" t="s">
        <v>1250</v>
      </c>
      <c r="C136" t="s">
        <v>56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189</v>
      </c>
      <c r="J136" t="s">
        <v>48</v>
      </c>
      <c r="K136" t="s">
        <v>117</v>
      </c>
      <c r="L136" t="s">
        <v>743</v>
      </c>
      <c r="M136" t="s">
        <v>392</v>
      </c>
      <c r="N136" t="s">
        <v>1256</v>
      </c>
      <c r="O136" s="3">
        <f>HYPERLINK(".\.\export_data\inspection_reports\80569_tameside", ".\export_data\inspection_reports\80569_tameside")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333</v>
      </c>
    </row>
    <row r="137" spans="1:20">
      <c r="A137" t="s">
        <v>1257</v>
      </c>
      <c r="B137" t="s">
        <v>1258</v>
      </c>
      <c r="C137" t="s">
        <v>42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78</v>
      </c>
      <c r="J137" t="s">
        <v>9</v>
      </c>
      <c r="K137" t="s">
        <v>179</v>
      </c>
      <c r="L137" t="s">
        <v>1264</v>
      </c>
      <c r="M137" t="s">
        <v>546</v>
      </c>
      <c r="N137" t="s">
        <v>432</v>
      </c>
      <c r="O137" s="3">
        <f>HYPERLINK(".\.\export_data\inspection_reports\80570_telford &amp; wrekin", ".\export_data\inspection_reports\80570_telford &amp; wrekin")</f>
        <v>0</v>
      </c>
      <c r="P137" t="s">
        <v>78</v>
      </c>
      <c r="Q137" t="s">
        <v>8</v>
      </c>
      <c r="R137" t="s">
        <v>78</v>
      </c>
      <c r="S137" t="s">
        <v>78</v>
      </c>
      <c r="T137" t="s">
        <v>53</v>
      </c>
    </row>
    <row r="138" spans="1:20">
      <c r="A138" t="s">
        <v>1265</v>
      </c>
      <c r="B138" t="s">
        <v>1266</v>
      </c>
      <c r="C138" t="s">
        <v>31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498</v>
      </c>
      <c r="L138" t="s">
        <v>1272</v>
      </c>
      <c r="M138" t="s">
        <v>1273</v>
      </c>
      <c r="N138" t="s">
        <v>1274</v>
      </c>
      <c r="O138" s="3">
        <f>HYPERLINK(".\.\export_data\inspection_reports\80571_thurrock", ".\export_data\inspection_reports\80571_thurrock")</f>
        <v>0</v>
      </c>
      <c r="P138" t="s">
        <v>78</v>
      </c>
      <c r="Q138" t="s">
        <v>78</v>
      </c>
      <c r="R138" t="s">
        <v>78</v>
      </c>
      <c r="S138" t="s">
        <v>78</v>
      </c>
      <c r="T138" t="s">
        <v>87</v>
      </c>
    </row>
    <row r="139" spans="1:20">
      <c r="A139" t="s">
        <v>1275</v>
      </c>
      <c r="B139" t="s">
        <v>1276</v>
      </c>
      <c r="C139" t="s">
        <v>18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8</v>
      </c>
      <c r="J139" t="s">
        <v>9</v>
      </c>
      <c r="K139" t="s">
        <v>479</v>
      </c>
      <c r="L139" t="s">
        <v>212</v>
      </c>
      <c r="M139" t="s">
        <v>679</v>
      </c>
      <c r="N139" t="s">
        <v>680</v>
      </c>
      <c r="O139" s="3">
        <f>HYPERLINK(".\.\export_data\inspection_reports\80572_torbay", ".\export_data\inspection_reports\80572_torbay")</f>
        <v>0</v>
      </c>
      <c r="P139" t="s">
        <v>8</v>
      </c>
      <c r="Q139" t="s">
        <v>8</v>
      </c>
      <c r="R139" t="s">
        <v>8</v>
      </c>
      <c r="S139" t="s">
        <v>8</v>
      </c>
      <c r="T139" t="s">
        <v>433</v>
      </c>
    </row>
    <row r="140" spans="1:20">
      <c r="A140" t="s">
        <v>1282</v>
      </c>
      <c r="B140" t="s">
        <v>1283</v>
      </c>
      <c r="C140" t="s">
        <v>56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73</v>
      </c>
      <c r="J140" t="s">
        <v>48</v>
      </c>
      <c r="K140" t="s">
        <v>1289</v>
      </c>
      <c r="L140" t="s">
        <v>75</v>
      </c>
      <c r="M140" t="s">
        <v>76</v>
      </c>
      <c r="N140" t="s">
        <v>1290</v>
      </c>
      <c r="O140" s="3">
        <f>HYPERLINK(".\.\export_data\inspection_reports\80573_trafford", ".\export_data\inspection_reports\80573_trafford")</f>
        <v>0</v>
      </c>
      <c r="P140" t="s">
        <v>189</v>
      </c>
      <c r="Q140" t="s">
        <v>189</v>
      </c>
      <c r="R140" t="s">
        <v>8</v>
      </c>
      <c r="S140" t="s">
        <v>14</v>
      </c>
      <c r="T140" t="s">
        <v>120</v>
      </c>
    </row>
    <row r="141" spans="1:20">
      <c r="A141" t="s">
        <v>1291</v>
      </c>
      <c r="B141" t="s">
        <v>1292</v>
      </c>
      <c r="C141" t="s">
        <v>42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78</v>
      </c>
      <c r="J141" t="s">
        <v>9</v>
      </c>
      <c r="K141" t="s">
        <v>139</v>
      </c>
      <c r="L141" t="s">
        <v>878</v>
      </c>
      <c r="M141" t="s">
        <v>879</v>
      </c>
      <c r="N141" t="s">
        <v>312</v>
      </c>
      <c r="O141" s="3">
        <f>HYPERLINK(".\.\export_data\inspection_reports\80574_walsall", ".\export_data\inspection_reports\80574_walsall")</f>
        <v>0</v>
      </c>
      <c r="P141" t="s">
        <v>78</v>
      </c>
      <c r="Q141" t="s">
        <v>8</v>
      </c>
      <c r="R141" t="s">
        <v>78</v>
      </c>
      <c r="S141" t="s">
        <v>8</v>
      </c>
      <c r="T141" t="s">
        <v>87</v>
      </c>
    </row>
    <row r="142" spans="1:20">
      <c r="A142" t="s">
        <v>1298</v>
      </c>
      <c r="B142" t="s">
        <v>1299</v>
      </c>
      <c r="C142" t="s">
        <v>56</v>
      </c>
      <c r="D142" t="s">
        <v>1300</v>
      </c>
      <c r="E142" t="s">
        <v>1301</v>
      </c>
      <c r="F142" t="s">
        <v>1302</v>
      </c>
      <c r="G142" t="s">
        <v>1303</v>
      </c>
      <c r="H142" s="2" t="s">
        <v>1304</v>
      </c>
      <c r="I142" t="s">
        <v>8</v>
      </c>
      <c r="J142" t="s">
        <v>9</v>
      </c>
      <c r="K142" t="s">
        <v>86</v>
      </c>
      <c r="L142" t="s">
        <v>441</v>
      </c>
      <c r="M142" t="s">
        <v>442</v>
      </c>
      <c r="N142" t="s">
        <v>1305</v>
      </c>
      <c r="O142" s="3">
        <f>HYPERLINK(".\.\export_data\inspection_reports\80575_warrington", ".\export_data\inspection_reports\80575_warrington")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42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14</v>
      </c>
      <c r="J143" t="s">
        <v>9</v>
      </c>
      <c r="K143" t="s">
        <v>117</v>
      </c>
      <c r="L143" t="s">
        <v>1313</v>
      </c>
      <c r="M143" t="s">
        <v>1314</v>
      </c>
      <c r="N143" t="s">
        <v>1315</v>
      </c>
      <c r="O143" s="3">
        <f>HYPERLINK(".\.\export_data\inspection_reports\80576_warwickshire", ".\export_data\inspection_reports\80576_warwickshire")</f>
        <v>0</v>
      </c>
      <c r="P143" t="s">
        <v>14</v>
      </c>
      <c r="Q143" t="s">
        <v>14</v>
      </c>
      <c r="R143" t="s">
        <v>14</v>
      </c>
      <c r="S143" t="s">
        <v>8</v>
      </c>
      <c r="T143" t="s">
        <v>333</v>
      </c>
    </row>
    <row r="144" spans="1:20">
      <c r="A144" t="s">
        <v>1316</v>
      </c>
      <c r="B144" t="s">
        <v>1317</v>
      </c>
      <c r="C144" t="s">
        <v>100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8</v>
      </c>
      <c r="J144" t="s">
        <v>9</v>
      </c>
      <c r="K144" t="s">
        <v>888</v>
      </c>
      <c r="L144" t="s">
        <v>1323</v>
      </c>
      <c r="M144" t="s">
        <v>1324</v>
      </c>
      <c r="N144" t="s">
        <v>1325</v>
      </c>
      <c r="O144" s="3">
        <f>HYPERLINK(".\.\export_data\inspection_reports\80577_west berkshire", ".\export_data\inspection_reports\80577_west berkshire")</f>
        <v>0</v>
      </c>
      <c r="P144" t="s">
        <v>8</v>
      </c>
      <c r="Q144" t="s">
        <v>8</v>
      </c>
      <c r="R144" t="s">
        <v>8</v>
      </c>
      <c r="S144" t="s">
        <v>8</v>
      </c>
      <c r="T144" t="s">
        <v>433</v>
      </c>
    </row>
    <row r="145" spans="1:20">
      <c r="A145" t="s">
        <v>1326</v>
      </c>
      <c r="B145" t="s">
        <v>1327</v>
      </c>
      <c r="C145" t="s">
        <v>304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73</v>
      </c>
      <c r="J145" t="s">
        <v>48</v>
      </c>
      <c r="K145" t="s">
        <v>150</v>
      </c>
      <c r="L145" t="s">
        <v>518</v>
      </c>
      <c r="M145" t="s">
        <v>519</v>
      </c>
      <c r="N145" t="s">
        <v>564</v>
      </c>
      <c r="O145" s="3">
        <f>HYPERLINK(".\.\export_data\inspection_reports\2637548_west northamptonshire", ".\export_data\inspection_reports\2637548_west northamptonshire")</f>
        <v>0</v>
      </c>
      <c r="P145" t="s">
        <v>78</v>
      </c>
      <c r="Q145" t="s">
        <v>8</v>
      </c>
      <c r="R145" t="s">
        <v>8</v>
      </c>
      <c r="S145" t="s">
        <v>8</v>
      </c>
      <c r="T145" t="s">
        <v>53</v>
      </c>
    </row>
    <row r="146" spans="1:20">
      <c r="A146" t="s">
        <v>1333</v>
      </c>
      <c r="B146" t="s">
        <v>1334</v>
      </c>
      <c r="C146" t="s">
        <v>100</v>
      </c>
      <c r="D146" t="s">
        <v>1335</v>
      </c>
      <c r="E146" t="s">
        <v>1336</v>
      </c>
      <c r="F146" t="s">
        <v>1337</v>
      </c>
      <c r="G146" t="s">
        <v>1338</v>
      </c>
      <c r="H146" s="2" t="s">
        <v>1339</v>
      </c>
      <c r="I146" t="s">
        <v>14</v>
      </c>
      <c r="J146" t="s">
        <v>48</v>
      </c>
      <c r="K146" t="s">
        <v>1340</v>
      </c>
      <c r="L146" t="s">
        <v>925</v>
      </c>
      <c r="M146" t="s">
        <v>926</v>
      </c>
      <c r="N146" t="s">
        <v>927</v>
      </c>
      <c r="O146" s="3">
        <f>HYPERLINK(".\.\export_data\inspection_reports\80578_west sussex", ".\export_data\inspection_reports\80578_west sussex")</f>
        <v>0</v>
      </c>
      <c r="P146" t="s">
        <v>8</v>
      </c>
      <c r="Q146" t="s">
        <v>14</v>
      </c>
      <c r="R146" t="s">
        <v>8</v>
      </c>
      <c r="S146" t="s">
        <v>14</v>
      </c>
      <c r="T146" t="s">
        <v>120</v>
      </c>
    </row>
    <row r="147" spans="1:20">
      <c r="A147" t="s">
        <v>1341</v>
      </c>
      <c r="B147" t="s">
        <v>1342</v>
      </c>
      <c r="C147" t="s">
        <v>56</v>
      </c>
      <c r="D147" t="s">
        <v>283</v>
      </c>
      <c r="E147" t="s">
        <v>1343</v>
      </c>
      <c r="F147" t="s">
        <v>1344</v>
      </c>
      <c r="G147" t="s">
        <v>1345</v>
      </c>
      <c r="H147" s="2" t="s">
        <v>1346</v>
      </c>
      <c r="I147" t="s">
        <v>8</v>
      </c>
      <c r="J147" t="s">
        <v>48</v>
      </c>
      <c r="K147" t="s">
        <v>1088</v>
      </c>
      <c r="L147" t="s">
        <v>545</v>
      </c>
      <c r="M147" t="s">
        <v>546</v>
      </c>
      <c r="N147" t="s">
        <v>432</v>
      </c>
      <c r="O147" s="3">
        <f>HYPERLINK(".\.\export_data\inspection_reports\2733698_westmorland and furness", ".\export_data\inspection_reports\2733698_westmorland and furness")</f>
        <v>0</v>
      </c>
      <c r="P147" t="s">
        <v>8</v>
      </c>
      <c r="Q147" t="s">
        <v>8</v>
      </c>
      <c r="R147" t="s">
        <v>8</v>
      </c>
      <c r="S147" t="s">
        <v>14</v>
      </c>
      <c r="T147" t="s">
        <v>433</v>
      </c>
    </row>
    <row r="148" spans="1:20">
      <c r="A148" t="s">
        <v>1347</v>
      </c>
      <c r="B148" t="s">
        <v>1348</v>
      </c>
      <c r="C148" t="s">
        <v>56</v>
      </c>
      <c r="D148" t="s">
        <v>1349</v>
      </c>
      <c r="E148" t="s">
        <v>1350</v>
      </c>
      <c r="F148" t="s">
        <v>1351</v>
      </c>
      <c r="G148" t="s">
        <v>1352</v>
      </c>
      <c r="H148" s="2" t="s">
        <v>1353</v>
      </c>
      <c r="I148" t="s">
        <v>8</v>
      </c>
      <c r="J148" t="s">
        <v>48</v>
      </c>
      <c r="K148" t="s">
        <v>733</v>
      </c>
      <c r="L148" t="s">
        <v>1354</v>
      </c>
      <c r="M148" t="s">
        <v>1355</v>
      </c>
      <c r="N148" t="s">
        <v>1356</v>
      </c>
      <c r="O148" s="3">
        <f>HYPERLINK(".\.\export_data\inspection_reports\80579_wigan", ".\export_data\inspection_reports\80579_wigan")</f>
        <v>0</v>
      </c>
      <c r="P148" t="s">
        <v>8</v>
      </c>
      <c r="Q148" t="s">
        <v>14</v>
      </c>
      <c r="R148" t="s">
        <v>78</v>
      </c>
      <c r="S148" t="s">
        <v>78</v>
      </c>
      <c r="T148" t="s">
        <v>53</v>
      </c>
    </row>
    <row r="149" spans="1:20">
      <c r="A149" t="s">
        <v>1357</v>
      </c>
      <c r="B149" t="s">
        <v>1358</v>
      </c>
      <c r="C149" t="s">
        <v>18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78</v>
      </c>
      <c r="J149" t="s">
        <v>9</v>
      </c>
      <c r="K149" t="s">
        <v>402</v>
      </c>
      <c r="L149" t="s">
        <v>1364</v>
      </c>
      <c r="M149" t="s">
        <v>1365</v>
      </c>
      <c r="N149" t="s">
        <v>1366</v>
      </c>
      <c r="O149" s="3">
        <f>HYPERLINK(".\.\export_data\inspection_reports\80580_wiltshire", ".\export_data\inspection_reports\80580_wiltshire")</f>
        <v>0</v>
      </c>
      <c r="P149" t="s">
        <v>78</v>
      </c>
      <c r="Q149" t="s">
        <v>8</v>
      </c>
      <c r="R149" t="s">
        <v>78</v>
      </c>
      <c r="S149" t="s">
        <v>78</v>
      </c>
      <c r="T149" t="s">
        <v>15</v>
      </c>
    </row>
    <row r="150" spans="1:20">
      <c r="A150" t="s">
        <v>1367</v>
      </c>
      <c r="B150" t="s">
        <v>1368</v>
      </c>
      <c r="C150" t="s">
        <v>56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14</v>
      </c>
      <c r="J150" t="s">
        <v>48</v>
      </c>
      <c r="K150" t="s">
        <v>190</v>
      </c>
      <c r="L150" t="s">
        <v>1374</v>
      </c>
      <c r="M150" t="s">
        <v>1365</v>
      </c>
      <c r="N150" t="s">
        <v>1375</v>
      </c>
      <c r="O150" s="3">
        <f>HYPERLINK(".\.\export_data\inspection_reports\80581_wirral", ".\export_data\inspection_reports\80581_wirral")</f>
        <v>0</v>
      </c>
      <c r="P150" t="s">
        <v>14</v>
      </c>
      <c r="Q150" t="s">
        <v>14</v>
      </c>
      <c r="R150" t="s">
        <v>14</v>
      </c>
      <c r="S150" t="s">
        <v>14</v>
      </c>
      <c r="T150" t="s">
        <v>53</v>
      </c>
    </row>
    <row r="151" spans="1:20">
      <c r="A151" t="s">
        <v>1376</v>
      </c>
      <c r="B151" t="s">
        <v>1377</v>
      </c>
      <c r="C151" t="s">
        <v>100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390</v>
      </c>
      <c r="L151" t="s">
        <v>1209</v>
      </c>
      <c r="M151" t="s">
        <v>1210</v>
      </c>
      <c r="N151" t="s">
        <v>1211</v>
      </c>
      <c r="O151" s="3">
        <f>HYPERLINK(".\.\export_data\inspection_reports\80582_wokingham", ".\export_data\inspection_reports\80582_wokingham")</f>
        <v>0</v>
      </c>
      <c r="P151" t="s">
        <v>14</v>
      </c>
      <c r="Q151" t="s">
        <v>14</v>
      </c>
      <c r="R151" t="s">
        <v>8</v>
      </c>
      <c r="S151" t="s">
        <v>14</v>
      </c>
      <c r="T151" t="s">
        <v>394</v>
      </c>
    </row>
    <row r="152" spans="1:20">
      <c r="A152" t="s">
        <v>1383</v>
      </c>
      <c r="B152" t="s">
        <v>1384</v>
      </c>
      <c r="C152" t="s">
        <v>42</v>
      </c>
      <c r="D152" t="s">
        <v>1385</v>
      </c>
      <c r="E152" t="s">
        <v>1386</v>
      </c>
      <c r="F152" t="s">
        <v>1387</v>
      </c>
      <c r="G152" t="s">
        <v>1388</v>
      </c>
      <c r="H152" s="2" t="s">
        <v>1389</v>
      </c>
      <c r="I152" t="s">
        <v>8</v>
      </c>
      <c r="J152" t="s">
        <v>9</v>
      </c>
      <c r="K152" t="s">
        <v>200</v>
      </c>
      <c r="L152" t="s">
        <v>1390</v>
      </c>
      <c r="M152" t="s">
        <v>831</v>
      </c>
      <c r="N152" t="s">
        <v>1391</v>
      </c>
      <c r="O152" s="3">
        <f>HYPERLINK(".\.\export_data\inspection_reports\80583_wolverhampton", ".\export_data\inspection_reports\80583_wolverhampton")</f>
        <v>0</v>
      </c>
      <c r="P152" t="s">
        <v>8</v>
      </c>
      <c r="Q152" t="s">
        <v>14</v>
      </c>
      <c r="R152" t="s">
        <v>78</v>
      </c>
      <c r="S152" t="s">
        <v>78</v>
      </c>
      <c r="T152" t="s">
        <v>53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48</v>
      </c>
      <c r="K153" t="s">
        <v>179</v>
      </c>
      <c r="L153" t="s">
        <v>1399</v>
      </c>
      <c r="M153" t="s">
        <v>1400</v>
      </c>
      <c r="N153" t="s">
        <v>1401</v>
      </c>
      <c r="O153" s="3">
        <f>HYPERLINK(".\.\export_data\inspection_reports\80584_worcestershire", ".\export_data\inspection_reports\80584_worcestershire")</f>
        <v>0</v>
      </c>
      <c r="P153" t="s">
        <v>8</v>
      </c>
      <c r="Q153" t="s">
        <v>8</v>
      </c>
      <c r="R153" t="s">
        <v>14</v>
      </c>
      <c r="S153" t="s">
        <v>8</v>
      </c>
      <c r="T153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2026-10-20T17:40:18Z</dcterms:created>
  <dcterms:modified xsi:type="dcterms:W3CDTF">2026-10-20T17:40:18Z</dcterms:modified>
</cp:coreProperties>
</file>
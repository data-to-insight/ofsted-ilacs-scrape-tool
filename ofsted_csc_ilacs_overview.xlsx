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<sst xmlns="http://schemas.openxmlformats.org/spreadsheetml/2006/main" count="2923" uniqueCount="1430">
  <si>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</si>
  <si>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</si>
  <si>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</si>
  <si>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</si>
  <si>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</si>
  <si>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'not_judged'),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</si>
  <si>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</si>
  <si>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</si>
  <si>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</si>
  <si>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</si>
  <si>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</si>
  <si>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</si>
  <si>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</si>
  <si>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</si>
  <si>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</si>
  <si>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</si>
  <si>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</si>
  <si>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</si>
  <si>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</si>
  <si>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</si>
  <si>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</si>
  <si>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'not_judged'), (919, 'not_judged'),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</si>
  <si>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</si>
  <si>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</si>
  <si>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</si>
  <si>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</si>
  <si>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</si>
  <si>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</si>
  <si>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5</t>
  </si>
  <si>
    <t>80428</t>
  </si>
  <si>
    <t>822</t>
  </si>
  <si>
    <t>E</t>
  </si>
  <si>
    <t>E06000055</t>
  </si>
  <si>
    <t>303, 826, 941, 311, 937, 839, 886, 935, 881, 866</t>
  </si>
  <si>
    <t>[(303, 'outstanding'), (826, 'good'), (941, 'not_judged'),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</si>
  <si>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</si>
  <si>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</si>
  <si>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</si>
  <si>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</si>
  <si>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</si>
  <si>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</si>
  <si>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</si>
  <si>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</si>
  <si>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</si>
  <si>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</si>
  <si>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'not_judged'),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</si>
  <si>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</si>
  <si>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</si>
  <si>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</si>
  <si>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</si>
  <si>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</si>
  <si>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</si>
  <si>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</si>
  <si>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4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</si>
  <si>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</si>
  <si>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</si>
  <si>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</si>
  <si>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</si>
  <si>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</si>
  <si>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</si>
  <si>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</si>
  <si>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</si>
  <si>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</si>
  <si>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</si>
  <si>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</si>
  <si>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</si>
  <si>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</si>
  <si>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</si>
  <si>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</si>
  <si>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</si>
  <si>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'not_judged'), (394, 'outstanding'), (341, 'not_judged'), (393, 'not_judged'), (807, 'good'), (354, 'requires improvement'), (880, 'good'), (355, 'good'), (861, 'requires improvement')]</t>
  </si>
  <si>
    <t>blackpool</t>
  </si>
  <si>
    <t>https://files.ofsted.gov.uk/v1/file/50308110</t>
  </si>
  <si>
    <t>not_judged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</si>
  <si>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</si>
  <si>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</si>
  <si>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</si>
  <si>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</si>
  <si>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</si>
  <si>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</si>
  <si>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</si>
  <si>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</si>
  <si>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</si>
  <si>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</si>
  <si>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</si>
  <si>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</si>
  <si>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</si>
  <si>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</si>
  <si>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</si>
  <si>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</si>
  <si>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</si>
  <si>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</si>
  <si>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</si>
  <si>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</si>
  <si>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</si>
  <si>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</si>
  <si>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</si>
  <si>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</si>
  <si>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</si>
  <si>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</si>
  <si>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</si>
  <si>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</si>
  <si>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</si>
  <si>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'not_judged'),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</si>
  <si>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</si>
  <si>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</si>
  <si>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</si>
  <si>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</si>
  <si>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</si>
  <si>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</si>
  <si>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</si>
  <si>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</si>
  <si>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</si>
  <si>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</si>
  <si>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</si>
  <si>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</si>
  <si>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</si>
  <si>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</si>
  <si>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</si>
  <si>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</si>
  <si>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</si>
  <si>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</si>
  <si>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</si>
  <si>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</si>
  <si>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</si>
  <si>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'not_judged'),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</si>
  <si>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</si>
  <si>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</si>
  <si>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</si>
  <si>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</si>
  <si>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</si>
  <si>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</si>
  <si>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</si>
  <si>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</si>
  <si>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</si>
  <si>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</si>
  <si>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'not_judged'), (869, 'good'), (936, 'good'), (873, 'requires improvement'), (867, 'outstanding'), (823, 'good'), (868, 'good'), (358, 'not_judged'),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</si>
  <si>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</si>
  <si>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</si>
  <si>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</si>
  <si>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</si>
  <si>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</si>
  <si>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</si>
  <si>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</si>
  <si>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</si>
  <si>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</si>
  <si>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</si>
  <si>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'not_judged'), (908, 'good'), (392, 'outstanding'), (886, 'good'), (332, 'not_judged'),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</si>
  <si>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</si>
  <si>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</si>
  <si>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</si>
  <si>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</si>
  <si>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</si>
  <si>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</si>
  <si>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</si>
  <si>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</si>
  <si>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</si>
  <si>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</si>
  <si>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</si>
  <si>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</si>
  <si>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</si>
  <si>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</si>
  <si>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</si>
  <si>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</si>
  <si>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</si>
  <si>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</si>
  <si>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</si>
  <si>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'not_judged'),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</si>
  <si>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</si>
  <si>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</si>
  <si>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</si>
  <si>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</si>
  <si>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</si>
  <si>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</si>
  <si>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</si>
  <si>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</si>
  <si>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'not_judged')]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</si>
  <si>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</si>
  <si>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</si>
  <si>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</si>
  <si>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</si>
  <si>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</si>
  <si>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</si>
  <si>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</si>
  <si>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</si>
  <si>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</si>
  <si>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</si>
  <si>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</si>
  <si>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</si>
  <si>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</si>
  <si>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</si>
  <si>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</si>
  <si>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</si>
  <si>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</si>
  <si>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</si>
  <si>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</si>
  <si>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</si>
  <si>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</si>
  <si>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</si>
  <si>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</si>
  <si>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</si>
  <si>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</si>
  <si>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</si>
  <si>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</si>
  <si>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</si>
  <si>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</si>
  <si>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</si>
  <si>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</si>
  <si>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</si>
  <si>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</si>
  <si>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</si>
  <si>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</si>
  <si>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</si>
  <si>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</si>
  <si>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</si>
  <si>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</si>
  <si>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</si>
  <si>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</si>
  <si>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</si>
  <si>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</si>
  <si>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</si>
  <si>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</si>
  <si>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</si>
  <si>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</si>
  <si>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</si>
  <si>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</si>
  <si>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</si>
  <si>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</t>
  </si>
  <si>
    <t>80451</t>
  </si>
  <si>
    <t>384</t>
  </si>
  <si>
    <t>E08000036</t>
  </si>
  <si>
    <t>332, 370, 894, 372, 925, 357, 371, 813, 841, 888</t>
  </si>
  <si>
    <t>[(332, 'not_judged'), (370, 'good'), (894, 'outstanding'), (372, 'outstanding'), (925, 'outstanding'), (357, 'inadequate'), (371, 'good'), (813, 'outstanding'), (841, 'outstanding'), (888, 'not_judged')]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</si>
  <si>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</si>
  <si>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</si>
  <si>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</si>
  <si>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</si>
  <si>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</si>
  <si>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</si>
  <si>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</si>
  <si>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</si>
  <si>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</si>
  <si>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'not_judged'), (937, 'requires improvement'), (931, 'good'), (938, 'requires improvement'), (358, 'not_judged'),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</si>
  <si>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</si>
  <si>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</si>
  <si>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</si>
  <si>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</si>
  <si>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</si>
  <si>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</si>
  <si>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</si>
  <si>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</si>
  <si>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</si>
  <si>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</si>
  <si>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'not_judged'),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</si>
  <si>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</si>
  <si>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</si>
  <si>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</si>
  <si>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</si>
  <si>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</si>
  <si>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</si>
  <si>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</si>
  <si>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</si>
  <si>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</si>
  <si>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</si>
  <si>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</si>
  <si>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</si>
  <si>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</si>
  <si>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</si>
  <si>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</si>
  <si>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</si>
  <si>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</si>
  <si>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</si>
  <si>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</si>
  <si>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</si>
  <si>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</si>
  <si>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</si>
  <si>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</si>
  <si>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</si>
  <si>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</si>
  <si>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</si>
  <si>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</si>
  <si>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</si>
  <si>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</si>
  <si>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</si>
  <si>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</si>
  <si>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'not_judged'),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</si>
  <si>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</si>
  <si>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</si>
  <si>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</si>
  <si>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</si>
  <si>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</si>
  <si>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</si>
  <si>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</si>
  <si>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</si>
  <si>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</si>
  <si>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</si>
  <si>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'not_judged'), (384, 'good'), (888, 'not_judged'),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</si>
  <si>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</si>
  <si>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</si>
  <si>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</si>
  <si>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</si>
  <si>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</si>
  <si>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</si>
  <si>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</si>
  <si>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</si>
  <si>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</si>
  <si>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</si>
  <si>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</si>
  <si>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</si>
  <si>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</si>
  <si>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</si>
  <si>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</si>
  <si>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</si>
  <si>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</si>
  <si>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</si>
  <si>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</si>
  <si>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</si>
  <si>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'not_judged'),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</si>
  <si>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</si>
  <si>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</si>
  <si>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</si>
  <si>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</si>
  <si>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</si>
  <si>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</si>
  <si>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</si>
  <si>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</si>
  <si>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</si>
  <si>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'not_judged'),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</si>
  <si>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</si>
  <si>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</si>
  <si>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</si>
  <si>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</si>
  <si>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</si>
  <si>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</si>
  <si>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</si>
  <si>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</si>
  <si>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</si>
  <si>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</si>
  <si>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</si>
  <si>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</si>
  <si>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</si>
  <si>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</si>
  <si>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</si>
  <si>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</si>
  <si>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</si>
  <si>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</si>
  <si>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</si>
  <si>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</si>
  <si>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'not_judged'),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</si>
  <si>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</si>
  <si>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</si>
  <si>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</si>
  <si>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</si>
  <si>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</si>
  <si>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</si>
  <si>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</si>
  <si>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</si>
  <si>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</si>
  <si>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'not_judged'), (841, 'outstanding'), (925, 'outstanding')]</t>
  </si>
  <si>
    <t>dudley</t>
  </si>
  <si>
    <t>https://files.ofsted.gov.uk/v1/file/50309682</t>
  </si>
  <si>
    <t>06/07/2026</t>
  </si>
  <si>
    <t>17/07/2026</t>
  </si>
  <si>
    <t>25/08/26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</si>
  <si>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</si>
  <si>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</si>
  <si>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</si>
  <si>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</si>
  <si>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'not_judged'),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</si>
  <si>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</si>
  <si>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</si>
  <si>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</si>
  <si>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</si>
  <si>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</si>
  <si>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</si>
  <si>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</si>
  <si>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'not_judged'),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</si>
  <si>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</si>
  <si>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</si>
  <si>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</si>
  <si>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</si>
  <si>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</si>
  <si>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</si>
  <si>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</si>
  <si>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</si>
  <si>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</si>
  <si>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</si>
  <si>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</si>
  <si>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</si>
  <si>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</si>
  <si>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</si>
  <si>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</si>
  <si>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</si>
  <si>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</si>
  <si>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7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</si>
  <si>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</si>
  <si>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</si>
  <si>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</si>
  <si>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</si>
  <si>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'not_judged'),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</si>
  <si>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</si>
  <si>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</si>
  <si>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</si>
  <si>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</si>
  <si>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</si>
  <si>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</si>
  <si>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</si>
  <si>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</si>
  <si>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</si>
  <si>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</si>
  <si>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'not_judged'), (372, 'outstanding'), (808, 'requires improvement'), (840, 'outstanding'), (807, 'good'), (394, 'outstanding'), (332, 'not_judged'),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</si>
  <si>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</si>
  <si>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</si>
  <si>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</si>
  <si>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</si>
  <si>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</si>
  <si>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</si>
  <si>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</si>
  <si>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</si>
  <si>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</si>
  <si>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</si>
  <si>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</si>
  <si>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</si>
  <si>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</si>
  <si>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</si>
  <si>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</si>
  <si>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</si>
  <si>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</si>
  <si>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</si>
  <si>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</si>
  <si>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</si>
  <si>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</si>
  <si>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</si>
  <si>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</si>
  <si>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</si>
  <si>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</si>
  <si>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</si>
  <si>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</si>
  <si>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</si>
  <si>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</si>
  <si>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</si>
  <si>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</si>
  <si>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</si>
  <si>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</si>
  <si>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</si>
  <si>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</si>
  <si>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</si>
  <si>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</si>
  <si>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'not_judged'), (890, 'not_judged'), (806, 'not_judged'),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</si>
  <si>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</si>
  <si>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</si>
  <si>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</si>
  <si>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</si>
  <si>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</si>
  <si>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</si>
  <si>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</si>
  <si>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</si>
  <si>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'not_judged'), (888, 'not_judged'),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</si>
  <si>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</si>
  <si>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</si>
  <si>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</si>
  <si>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</si>
  <si>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</si>
  <si>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</si>
  <si>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</si>
  <si>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</si>
  <si>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</si>
  <si>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'not_judged'), (916, 'good'), (869, 'good')]</t>
  </si>
  <si>
    <t>hertfordshire</t>
  </si>
  <si>
    <t>https://files.ofsted.gov.uk/v1/file/50309681</t>
  </si>
  <si>
    <t>13/07/2026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</si>
  <si>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</si>
  <si>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</si>
  <si>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</si>
  <si>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</si>
  <si>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</si>
  <si>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</si>
  <si>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</si>
  <si>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</si>
  <si>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</si>
  <si>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</si>
  <si>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</si>
  <si>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</si>
  <si>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</si>
  <si>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'not_judged')]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</si>
  <si>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</si>
  <si>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</si>
  <si>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</si>
  <si>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</si>
  <si>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</si>
  <si>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</si>
  <si>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</si>
  <si>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</si>
  <si>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</si>
  <si>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</si>
  <si>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'not_judged'),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</si>
  <si>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</si>
  <si>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</si>
  <si>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</si>
  <si>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</si>
  <si>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</si>
  <si>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</si>
  <si>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</si>
  <si>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'not_judged'),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</si>
  <si>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</si>
  <si>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</si>
  <si>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</si>
  <si>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</si>
  <si>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</si>
  <si>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</si>
  <si>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</si>
  <si>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</si>
  <si>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'not_judged'), (840, 'outstanding'), (341, 'not_judged')]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</si>
  <si>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</si>
  <si>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</si>
  <si>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</si>
  <si>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</si>
  <si>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</si>
  <si>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</si>
  <si>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</si>
  <si>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</si>
  <si>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</si>
  <si>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</si>
  <si>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'not_judged'), (884, 'good'), (841, 'outstanding'), (808, 'requires improvement'), (384, 'good'), (891, 'good'), (929, 'outstanding'), (359, 'good')]</t>
  </si>
  <si>
    <t>lancashire</t>
  </si>
  <si>
    <t>https://files.ofsted.gov.uk/v1/file/50309857</t>
  </si>
  <si>
    <t>11/05/2026</t>
  </si>
  <si>
    <t>22/05/2026</t>
  </si>
  <si>
    <t>20/08/26</t>
  </si>
  <si>
    <t>80481</t>
  </si>
  <si>
    <t>383</t>
  </si>
  <si>
    <t>E08000035</t>
  </si>
  <si>
    <t>851, 882, 373, 826, 382, 355, 801, 852, 306, 839</t>
  </si>
  <si>
    <t>[(851, 'not_judged'),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</si>
  <si>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</si>
  <si>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</si>
  <si>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</si>
  <si>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</si>
  <si>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</si>
  <si>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</si>
  <si>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</si>
  <si>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</si>
  <si>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</si>
  <si>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'not_judged'), (304, 'not_judged'),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</si>
  <si>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</si>
  <si>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</si>
  <si>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</si>
  <si>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</si>
  <si>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</si>
  <si>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</si>
  <si>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'not_judged'),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</si>
  <si>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</si>
  <si>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</si>
  <si>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</si>
  <si>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</si>
  <si>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</si>
  <si>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</si>
  <si>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</si>
  <si>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</si>
  <si>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'not_judged'), (384, 'good'), (884, 'good'), (813, 'outstanding'), (926, 'outstanding'), (935, 'requires improvement'), (332, 'not_judged'), (940, 'not_judged'), (830, 'good'), (933, 'not_judged')]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</si>
  <si>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</si>
  <si>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</si>
  <si>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</si>
  <si>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</si>
  <si>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</si>
  <si>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</si>
  <si>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</si>
  <si>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</si>
  <si>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</si>
  <si>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'not_judged'), (805, 'outstanding'), (806, 'not_judged'), (355, 'good'), (393, 'not_judged'), (340, 'inadequate'), (394, 'outstanding'), (391, 'good'), (807, 'good'), (354, 'requires improvement')]</t>
  </si>
  <si>
    <t>liverpool</t>
  </si>
  <si>
    <t>https://files.ofsted.gov.uk/v1/file/50306784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</si>
  <si>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</si>
  <si>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</si>
  <si>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</si>
  <si>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</si>
  <si>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</si>
  <si>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'not_judged'),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</si>
  <si>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</si>
  <si>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</si>
  <si>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</si>
  <si>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</si>
  <si>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</si>
  <si>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</si>
  <si>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</si>
  <si>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</si>
  <si>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</si>
  <si>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</si>
  <si>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</si>
  <si>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</si>
  <si>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</si>
  <si>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</si>
  <si>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</si>
  <si>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</si>
  <si>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</si>
  <si>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</si>
  <si>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</si>
  <si>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</si>
  <si>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</si>
  <si>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</si>
  <si>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</si>
  <si>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</si>
  <si>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'not_judged'),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</si>
  <si>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</si>
  <si>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</si>
  <si>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</si>
  <si>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</si>
  <si>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</si>
  <si>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</si>
  <si>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</si>
  <si>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</si>
  <si>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</si>
  <si>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</si>
  <si>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'not_judged'), (358, 'not_judged'),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</si>
  <si>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</si>
  <si>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</si>
  <si>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</si>
  <si>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</si>
  <si>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</si>
  <si>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</si>
  <si>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</si>
  <si>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</si>
  <si>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</si>
  <si>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</si>
  <si>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</si>
  <si>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</si>
  <si>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</si>
  <si>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</si>
  <si>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</si>
  <si>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</si>
  <si>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</si>
  <si>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</si>
  <si>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</si>
  <si>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</si>
  <si>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</si>
  <si>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</si>
  <si>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</si>
  <si>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</si>
  <si>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</si>
  <si>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</si>
  <si>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'not_judged'), (309, 'outstanding'), (310, 'inadequate'), (871, 'not_judged'),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</si>
  <si>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</si>
  <si>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</si>
  <si>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</si>
  <si>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</si>
  <si>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</si>
  <si>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</si>
  <si>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</si>
  <si>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</si>
  <si>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</si>
  <si>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</si>
  <si>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</si>
  <si>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</si>
  <si>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</si>
  <si>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</si>
  <si>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</si>
  <si>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</si>
  <si>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'not_judged'),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</si>
  <si>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</si>
  <si>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</si>
  <si>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</si>
  <si>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</si>
  <si>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</si>
  <si>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</si>
  <si>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</si>
  <si>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</si>
  <si>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</si>
  <si>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</si>
  <si>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</si>
  <si>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</si>
  <si>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</si>
  <si>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</si>
  <si>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</si>
  <si>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</si>
  <si>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</si>
  <si>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</si>
  <si>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</si>
  <si>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</si>
  <si>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</si>
  <si>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</si>
  <si>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</si>
  <si>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</si>
  <si>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</si>
  <si>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</si>
  <si>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'not_judged'),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</si>
  <si>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</si>
  <si>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</si>
  <si>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</si>
  <si>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</si>
  <si>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</si>
  <si>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</si>
  <si>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</si>
  <si>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</si>
  <si>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'not_judged'),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</si>
  <si>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</si>
  <si>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</si>
  <si>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</si>
  <si>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</si>
  <si>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</si>
  <si>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</si>
  <si>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</si>
  <si>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</si>
  <si>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'not_judged'),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</si>
  <si>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</si>
  <si>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</si>
  <si>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</si>
  <si>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</si>
  <si>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</si>
  <si>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</si>
  <si>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</si>
  <si>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</si>
  <si>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'not_judged'),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</si>
  <si>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</si>
  <si>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</si>
  <si>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</si>
  <si>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</si>
  <si>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</si>
  <si>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</si>
  <si>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</si>
  <si>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</si>
  <si>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</si>
  <si>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'not_judged'), (317, 'outstanding'), (320, 'good'), (821, 'good'), (304, 'not_judged'),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</si>
  <si>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</si>
  <si>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</si>
  <si>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</si>
  <si>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</si>
  <si>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</si>
  <si>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</si>
  <si>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</si>
  <si>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</si>
  <si>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</si>
  <si>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</si>
  <si>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</si>
  <si>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</si>
  <si>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</si>
  <si>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</si>
  <si>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</si>
  <si>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</si>
  <si>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</si>
  <si>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</si>
  <si>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</si>
  <si>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</si>
  <si>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</si>
  <si>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</si>
  <si>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</si>
  <si>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</si>
  <si>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</si>
  <si>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</si>
  <si>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</si>
  <si>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</si>
  <si>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</si>
  <si>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</si>
  <si>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</si>
  <si>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</si>
  <si>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</si>
  <si>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</si>
  <si>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</si>
  <si>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'not_judged'),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</si>
  <si>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</si>
  <si>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</si>
  <si>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</si>
  <si>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</si>
  <si>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</si>
  <si>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</si>
  <si>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'not_judged'), (301, 'requires improvement'), (308, 'good'), (856, 'requires improvement'), (309, 'outstanding'), (821, 'good'), (307, 'good'), (313, 'good'), (352, 'outstanding'), (871, 'not_judged')]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</si>
  <si>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</si>
  <si>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</si>
  <si>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</si>
  <si>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</si>
  <si>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</si>
  <si>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</si>
  <si>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</si>
  <si>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'not_judged'),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</si>
  <si>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</si>
  <si>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</si>
  <si>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</si>
  <si>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</si>
  <si>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</si>
  <si>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</si>
  <si>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</si>
  <si>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'not_judged'), (825, 'requires improvement'), (919, 'not_judged'),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</si>
  <si>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</si>
  <si>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</si>
  <si>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</si>
  <si>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</si>
  <si>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</si>
  <si>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</si>
  <si>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</si>
  <si>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</si>
  <si>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</si>
  <si>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</si>
  <si>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</si>
  <si>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</si>
  <si>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</si>
  <si>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'not_judged'),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</si>
  <si>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</si>
  <si>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</si>
  <si>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</si>
  <si>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</si>
  <si>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</si>
  <si>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</si>
  <si>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</si>
  <si>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'not_judged')]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</si>
  <si>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</si>
  <si>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</si>
  <si>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</si>
  <si>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</si>
  <si>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</si>
  <si>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</si>
  <si>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</si>
  <si>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</si>
  <si>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</si>
  <si>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</si>
  <si>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</si>
  <si>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</si>
  <si>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</si>
  <si>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</si>
  <si>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</si>
  <si>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</si>
  <si>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</si>
  <si>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</si>
  <si>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</si>
  <si>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</si>
  <si>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</si>
  <si>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</si>
  <si>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</si>
  <si>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</si>
  <si>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</si>
  <si>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</si>
  <si>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</si>
  <si>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</si>
  <si>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</si>
  <si>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</si>
  <si>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</si>
  <si>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</si>
  <si>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'not_judged'),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</si>
  <si>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</si>
  <si>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</si>
  <si>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</si>
  <si>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</si>
  <si>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</si>
  <si>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</si>
  <si>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</si>
  <si>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</si>
  <si>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'not_judged'),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</si>
  <si>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</si>
  <si>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</si>
  <si>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</si>
  <si>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</si>
  <si>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</si>
  <si>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</si>
  <si>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</si>
  <si>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</si>
  <si>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</si>
  <si>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</si>
  <si>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'not_judged'),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</si>
  <si>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</si>
  <si>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</si>
  <si>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</si>
  <si>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</si>
  <si>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</si>
  <si>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</si>
  <si>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</si>
  <si>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</si>
  <si>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</si>
  <si>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'not_judged'), (805, 'outstanding'), (861, 'requires improvement'), (354, 'requires improvement'), (391, 'good'), (336, 'good'), (335, 'outstanding'), (393, 'not_judged'), (341, 'not_judged'),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</si>
  <si>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</si>
  <si>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</si>
  <si>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</si>
  <si>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</si>
  <si>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</si>
  <si>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</si>
  <si>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</si>
  <si>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'not_judged'),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</si>
  <si>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</si>
  <si>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</si>
  <si>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</si>
  <si>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</si>
  <si>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</si>
  <si>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</si>
  <si>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</si>
  <si>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</si>
  <si>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</si>
  <si>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'not_judged'), (851, 'not_judged'), (892, 'inadequate'), (383, 'outstanding'), (330, 'good'), (852, 'good'), (352, 'outstanding'), (890, 'not_judged')]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</si>
  <si>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</si>
  <si>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</si>
  <si>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</si>
  <si>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</si>
  <si>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</si>
  <si>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</si>
  <si>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</si>
  <si>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</si>
  <si>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</si>
  <si>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'not_judged'),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</si>
  <si>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</si>
  <si>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</si>
  <si>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</si>
  <si>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</si>
  <si>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</si>
  <si>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</si>
  <si>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</si>
  <si>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</si>
  <si>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</si>
  <si>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</si>
  <si>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</si>
  <si>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</si>
  <si>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</si>
  <si>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</si>
  <si>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</si>
  <si>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</si>
  <si>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</si>
  <si>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</si>
  <si>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'not_judged'), (332, 'not_judged'), (942, 'good'), (372, 'outstanding'), (894, 'outstanding'), (888, 'not_judged')]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</si>
  <si>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</si>
  <si>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</si>
  <si>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</si>
  <si>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</si>
  <si>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</si>
  <si>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</si>
  <si>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</si>
  <si>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</si>
  <si>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</si>
  <si>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'not_judged'), (935, 'requires improvement'), (925, 'outstanding'), (933, 'not_judged'),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</si>
  <si>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</si>
  <si>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</si>
  <si>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</si>
  <si>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</si>
  <si>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</si>
  <si>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</si>
  <si>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</si>
  <si>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</si>
  <si>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</si>
  <si>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</si>
  <si>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</si>
  <si>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</si>
  <si>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</si>
  <si>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</si>
  <si>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</si>
  <si>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</si>
  <si>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</si>
  <si>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'not_judged'),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</si>
  <si>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</si>
  <si>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</si>
  <si>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</si>
  <si>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</si>
  <si>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</si>
  <si>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</si>
  <si>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'not_judged')]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</si>
  <si>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</si>
  <si>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</si>
  <si>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</si>
  <si>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</si>
  <si>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</si>
  <si>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</si>
  <si>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</si>
  <si>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</si>
  <si>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</si>
  <si>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</si>
  <si>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'not_judged'),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</si>
  <si>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</si>
  <si>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</si>
  <si>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</si>
  <si>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</si>
  <si>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</si>
  <si>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</si>
  <si>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</si>
  <si>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</si>
  <si>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'not_judged'),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</si>
  <si>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</si>
  <si>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</si>
  <si>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</si>
  <si>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</si>
  <si>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</si>
  <si>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</si>
  <si>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</si>
  <si>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'not_judged'), (886, 'good'), (926, 'outstanding'), (937, 'requires improvement'), (855, 'outstanding'), (802, 'requires improvement'), (860, 'requires improvement'), (888, 'not_judged')]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</si>
  <si>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</si>
  <si>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</si>
  <si>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</si>
  <si>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</si>
  <si>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</si>
  <si>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</si>
  <si>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</si>
  <si>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</si>
  <si>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</si>
  <si>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</si>
  <si>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</si>
  <si>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</si>
  <si>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</si>
  <si>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'not_judged'),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</si>
  <si>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</si>
  <si>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</si>
  <si>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</si>
  <si>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</si>
  <si>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</si>
  <si>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</si>
  <si>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</si>
  <si>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</si>
  <si>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</si>
  <si>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</si>
  <si>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</si>
  <si>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</si>
  <si>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</si>
  <si>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</si>
  <si>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</si>
  <si>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</si>
  <si>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</si>
  <si>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</si>
  <si>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</si>
  <si>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'not_judged'),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</si>
  <si>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</si>
  <si>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</si>
  <si>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</si>
  <si>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</si>
  <si>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</si>
  <si>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</si>
  <si>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</si>
  <si>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</si>
  <si>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</si>
  <si>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</si>
  <si>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</si>
  <si>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https://files.ofsted.gov.uk/v1/file/50309432</t>
  </si>
  <si>
    <t>steve bailey</t>
  </si>
  <si>
    <t>10/07/2026</t>
  </si>
  <si>
    <t>18/08/26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</si>
  <si>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</si>
  <si>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</si>
  <si>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</si>
  <si>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</si>
  <si>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</si>
  <si>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</si>
  <si>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</si>
  <si>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</si>
  <si>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</si>
  <si>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</si>
  <si>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</si>
  <si>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'not_judged'),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</si>
  <si>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</si>
  <si>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</si>
  <si>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</si>
  <si>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</si>
  <si>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</si>
  <si>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</si>
  <si>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</si>
  <si>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</si>
  <si>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</si>
  <si>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</si>
  <si>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23/01/2023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</si>
  <si>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</si>
  <si>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</si>
  <si>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</si>
  <si>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</si>
  <si>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</si>
  <si>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</si>
  <si>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'not_judged'),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</si>
  <si>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</si>
  <si>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</si>
  <si>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</si>
  <si>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</si>
  <si>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</si>
  <si>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</si>
  <si>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</si>
  <si>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</si>
  <si>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</si>
  <si>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</si>
  <si>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</si>
  <si>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</si>
  <si>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</si>
  <si>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</si>
  <si>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'not_judged'), (305, 'outstanding'), (800, 'good'), (868, 'good'), (358, 'not_judged'),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</si>
  <si>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</si>
  <si>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</si>
  <si>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</si>
  <si>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</si>
  <si>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</si>
  <si>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</si>
  <si>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'not_judged'), (919, 'not_judged'),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</si>
  <si>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</si>
  <si>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</si>
  <si>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</si>
  <si>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</si>
  <si>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</si>
  <si>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</si>
  <si>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</si>
  <si>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</si>
  <si>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</si>
  <si>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</si>
  <si>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</si>
  <si>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</si>
  <si>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</si>
  <si>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</si>
  <si>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</si>
  <si>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</si>
  <si>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'not_judged'), (391, 'good'), (390, 'good'), (350, 'good'), (393, 'not_judged'),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</si>
  <si>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</si>
  <si>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</si>
  <si>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</si>
  <si>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</si>
  <si>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</si>
  <si>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</si>
  <si>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</si>
  <si>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</si>
  <si>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'not_judged'),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</si>
  <si>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</si>
  <si>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</si>
  <si>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</si>
  <si>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</si>
  <si>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</si>
  <si>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</si>
  <si>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</si>
  <si>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</si>
  <si>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</si>
  <si>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'not_judged'),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</si>
  <si>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</si>
  <si>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</si>
  <si>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</si>
  <si>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</si>
  <si>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</si>
  <si>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</si>
  <si>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</si>
  <si>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'not_judged'),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</si>
  <si>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</si>
  <si>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</si>
  <si>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</si>
  <si>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</si>
  <si>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</si>
  <si>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</si>
  <si>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</si>
  <si>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</si>
  <si>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'not_judged'),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</si>
  <si>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</si>
  <si>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</si>
  <si>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</si>
  <si>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</si>
  <si>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</si>
  <si>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</si>
  <si>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'not_judged'), (874, 'inadequate'), (320, 'good'), (856, 'requires improvement')]</t>
  </si>
  <si>
    <t>slough</t>
  </si>
  <si>
    <t>https://files.ofsted.gov.uk/v1/file/50309683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</si>
  <si>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</si>
  <si>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</si>
  <si>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</si>
  <si>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</si>
  <si>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'not_judged')]</t>
  </si>
  <si>
    <t>solihull</t>
  </si>
  <si>
    <t>https://files.ofsted.gov.uk/v1/file/50293398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</si>
  <si>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</si>
  <si>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</si>
  <si>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</si>
  <si>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</si>
  <si>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</si>
  <si>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</si>
  <si>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</si>
  <si>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</si>
  <si>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</si>
  <si>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</si>
  <si>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</si>
  <si>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</si>
  <si>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</si>
  <si>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</si>
  <si>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</si>
  <si>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</si>
  <si>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</si>
  <si>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</si>
  <si>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'not_judged'), (841, 'outstanding')]</t>
  </si>
  <si>
    <t>south tyneside</t>
  </si>
  <si>
    <t>https://files.ofsted.gov.uk/v1/file/50308876</t>
  </si>
  <si>
    <t>15/06/2026</t>
  </si>
  <si>
    <t>26/06/2026</t>
  </si>
  <si>
    <t>04/08/26</t>
  </si>
  <si>
    <t>80558</t>
  </si>
  <si>
    <t>852</t>
  </si>
  <si>
    <t>E06000045</t>
  </si>
  <si>
    <t>331, 831, 851, 373, 312, 355, 874, 383, 350, 320</t>
  </si>
  <si>
    <t>[(331, 'outstanding'), (831, 'outstanding'), (851, 'not_judged'),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</si>
  <si>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</si>
  <si>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</si>
  <si>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</si>
  <si>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</si>
  <si>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</si>
  <si>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</si>
  <si>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</si>
  <si>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</si>
  <si>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</si>
  <si>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'not_judged'),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</si>
  <si>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</si>
  <si>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</si>
  <si>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</si>
  <si>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</si>
  <si>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</si>
  <si>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</si>
  <si>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</si>
  <si>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</si>
  <si>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</si>
  <si>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</si>
  <si>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</si>
  <si>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</si>
  <si>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</si>
  <si>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'not_judged'), (830, 'good'), (877, 'good'), (891, 'good'), (943, 'good'), (888, 'not_judged')]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</si>
  <si>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</si>
  <si>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</si>
  <si>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</si>
  <si>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</si>
  <si>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</si>
  <si>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</si>
  <si>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'not_judged'), (896, 'requires improvement'), (916, 'good'), (919, 'not_judged'),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</si>
  <si>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</si>
  <si>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</si>
  <si>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</si>
  <si>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</si>
  <si>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</si>
  <si>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</si>
  <si>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</si>
  <si>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'not_judged'), (888, 'not_judged'),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</si>
  <si>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</si>
  <si>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</si>
  <si>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</si>
  <si>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</si>
  <si>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</si>
  <si>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</si>
  <si>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</si>
  <si>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</si>
  <si>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</si>
  <si>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</si>
  <si>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</si>
  <si>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</si>
  <si>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</si>
  <si>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</si>
  <si>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</si>
  <si>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</si>
  <si>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</si>
  <si>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'not_judged'), (926, 'outstanding'), (830, 'good'), (891, 'good'), (878, 'inadequate'), (881, 'outstanding'), (886, 'good'), (838, 'outstanding'), (925, 'outstanding'), (940, 'not_judged')]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</si>
  <si>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</si>
  <si>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</si>
  <si>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</si>
  <si>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</si>
  <si>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</si>
  <si>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</si>
  <si>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</si>
  <si>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'not_judged'),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</si>
  <si>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</si>
  <si>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</si>
  <si>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</si>
  <si>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</si>
  <si>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</si>
  <si>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</si>
  <si>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</si>
  <si>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'not_judged'), (919, 'not_judged'),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</si>
  <si>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</si>
  <si>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</si>
  <si>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</si>
  <si>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</si>
  <si>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</si>
  <si>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</si>
  <si>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'not_judged'), (883, 'outstanding'), (303, 'outstanding'), (822, 'requires improvement'), (941, 'not_judged'),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</si>
  <si>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</si>
  <si>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</si>
  <si>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</si>
  <si>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</si>
  <si>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</si>
  <si>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</si>
  <si>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'not_judged'),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</si>
  <si>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</si>
  <si>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</si>
  <si>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</si>
  <si>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</si>
  <si>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</si>
  <si>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</si>
  <si>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</si>
  <si>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'not_judged'),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</si>
  <si>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</si>
  <si>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</si>
  <si>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</si>
  <si>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</si>
  <si>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</si>
  <si>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</si>
  <si>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</si>
  <si>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'not_judged'), (822, 'requires improvement'), (941, 'not_judged'), (332, 'not_judged'),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</si>
  <si>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</si>
  <si>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</si>
  <si>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</si>
  <si>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</si>
  <si>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</si>
  <si>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</si>
  <si>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</si>
  <si>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</si>
  <si>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</si>
  <si>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</si>
  <si>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</si>
  <si>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</si>
  <si>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</si>
  <si>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</si>
  <si>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</si>
  <si>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</si>
  <si>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'not_judged'),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</si>
  <si>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</si>
  <si>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https://files.ofsted.gov.uk/v1/file/50308602</t>
  </si>
  <si>
    <t>leanne cooper</t>
  </si>
  <si>
    <t>03/08/26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</si>
  <si>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</si>
  <si>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</si>
  <si>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</si>
  <si>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</si>
  <si>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</si>
  <si>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</si>
  <si>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</si>
  <si>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</si>
  <si>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</si>
  <si>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</si>
  <si>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</si>
  <si>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</si>
  <si>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</si>
  <si>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</si>
  <si>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</si>
  <si>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</si>
  <si>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</si>
  <si>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</si>
  <si>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</si>
  <si>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</si>
  <si>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</si>
  <si>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</si>
  <si>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</si>
  <si>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</si>
  <si>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</si>
  <si>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</si>
  <si>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</si>
  <si>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</si>
  <si>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</si>
  <si>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'not_judged'),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</si>
  <si>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</si>
  <si>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</si>
  <si>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</si>
  <si>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</si>
  <si>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</si>
  <si>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</si>
  <si>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</si>
  <si>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</si>
  <si>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</si>
  <si>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'not_judged'), (937, 'requires improvement'), (866, 'inadequate'), (933, 'not_judged'),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</si>
  <si>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</si>
  <si>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</si>
  <si>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</si>
  <si>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</si>
  <si>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</si>
  <si>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</si>
  <si>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'not_judged'),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</si>
  <si>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</si>
  <si>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</si>
  <si>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</si>
  <si>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</si>
  <si>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</si>
  <si>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</si>
  <si>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'not_judged'),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</si>
  <si>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</si>
  <si>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</si>
  <si>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</si>
  <si>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</si>
  <si>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</si>
  <si>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</si>
  <si>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'not_judged'), (925, 'outstanding'), (343, 'good'), (877, 'good'), (860, 'requires improvement'), (332, 'not_judged'),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</si>
  <si>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</si>
  <si>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</si>
  <si>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</si>
  <si>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</si>
  <si>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</si>
  <si>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</si>
  <si>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</si>
  <si>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</si>
  <si>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</si>
  <si>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</si>
  <si>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</si>
  <si>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</si>
  <si>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</si>
  <si>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</si>
  <si>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</si>
  <si>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</si>
  <si>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</si>
  <si>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</si>
  <si>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</si>
  <si>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'not_judged'), (351, 'requires improvement'), (393, 'not_judged')]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</si>
  <si>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</si>
  <si>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</si>
  <si>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</si>
  <si>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</si>
  <si>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</si>
  <si>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</si>
  <si>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</si>
  <si>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</si>
  <si>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'not_judged'), (318, 'outstanding'), (919, 'not_judged'),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</si>
  <si>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</si>
  <si>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</si>
  <si>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</si>
  <si>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</si>
  <si>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</si>
  <si>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</si>
  <si>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'not_judged'),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</si>
  <si>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</si>
  <si>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</si>
  <si>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</si>
  <si>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</si>
  <si>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</si>
  <si>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</si>
  <si>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</si>
  <si>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</si>
  <si>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'not_judged'),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</si>
  <si>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</si>
  <si>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</si>
  <si>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15/05/2023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</si>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</sst>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30968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309681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309857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309432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309683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308876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308602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53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28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78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78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100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87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53</v>
      </c>
    </row>
    <row r="15" spans="1:20">
      <c r="A15" t="s">
        <v>153</v>
      </c>
      <c r="B15" t="s">
        <v>154</v>
      </c>
      <c r="C15" t="s">
        <v>2</v>
      </c>
      <c r="D15" t="s">
        <v>155</v>
      </c>
      <c r="E15" t="s">
        <v>156</v>
      </c>
      <c r="F15" t="s">
        <v>157</v>
      </c>
      <c r="G15" t="s">
        <v>158</v>
      </c>
      <c r="H15" s="2" t="s">
        <v>159</v>
      </c>
      <c r="I15" t="s">
        <v>8</v>
      </c>
      <c r="J15" t="s">
        <v>9</v>
      </c>
      <c r="K15" t="s">
        <v>106</v>
      </c>
      <c r="L15" t="s">
        <v>160</v>
      </c>
      <c r="M15" t="s">
        <v>161</v>
      </c>
      <c r="N15" t="s">
        <v>162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28</v>
      </c>
    </row>
    <row r="16" spans="1:20">
      <c r="A16" t="s">
        <v>163</v>
      </c>
      <c r="B16" t="s">
        <v>164</v>
      </c>
      <c r="C16" t="s">
        <v>31</v>
      </c>
      <c r="D16" t="s">
        <v>165</v>
      </c>
      <c r="E16" t="s">
        <v>166</v>
      </c>
      <c r="F16" t="s">
        <v>167</v>
      </c>
      <c r="G16" t="s">
        <v>168</v>
      </c>
      <c r="H16" s="2" t="s">
        <v>169</v>
      </c>
      <c r="I16" t="s">
        <v>14</v>
      </c>
      <c r="J16" t="s">
        <v>48</v>
      </c>
      <c r="K16" t="s">
        <v>86</v>
      </c>
      <c r="L16" t="s">
        <v>170</v>
      </c>
      <c r="M16" t="s">
        <v>171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172</v>
      </c>
      <c r="B17" t="s">
        <v>173</v>
      </c>
      <c r="C17" t="s">
        <v>31</v>
      </c>
      <c r="D17" t="s">
        <v>174</v>
      </c>
      <c r="E17" t="s">
        <v>175</v>
      </c>
      <c r="F17" t="s">
        <v>176</v>
      </c>
      <c r="G17" t="s">
        <v>177</v>
      </c>
      <c r="H17" s="2" t="s">
        <v>178</v>
      </c>
      <c r="I17" t="s">
        <v>8</v>
      </c>
      <c r="J17" t="s">
        <v>9</v>
      </c>
      <c r="K17" t="s">
        <v>179</v>
      </c>
      <c r="L17" t="s">
        <v>180</v>
      </c>
      <c r="M17" t="s">
        <v>64</v>
      </c>
      <c r="N17" t="s">
        <v>181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182</v>
      </c>
      <c r="B18" t="s">
        <v>183</v>
      </c>
      <c r="C18" t="s">
        <v>56</v>
      </c>
      <c r="D18" t="s">
        <v>184</v>
      </c>
      <c r="E18" t="s">
        <v>185</v>
      </c>
      <c r="F18" t="s">
        <v>186</v>
      </c>
      <c r="G18" t="s">
        <v>187</v>
      </c>
      <c r="H18" s="2" t="s">
        <v>188</v>
      </c>
      <c r="I18" t="s">
        <v>189</v>
      </c>
      <c r="J18" t="s">
        <v>48</v>
      </c>
      <c r="K18" t="s">
        <v>190</v>
      </c>
      <c r="L18" t="s">
        <v>191</v>
      </c>
      <c r="M18" t="s">
        <v>192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189</v>
      </c>
      <c r="T18" t="s">
        <v>53</v>
      </c>
    </row>
    <row r="19" spans="1:20">
      <c r="A19" t="s">
        <v>193</v>
      </c>
      <c r="B19" t="s">
        <v>194</v>
      </c>
      <c r="C19" t="s">
        <v>56</v>
      </c>
      <c r="D19" t="s">
        <v>195</v>
      </c>
      <c r="E19" t="s">
        <v>196</v>
      </c>
      <c r="F19" t="s">
        <v>197</v>
      </c>
      <c r="G19" t="s">
        <v>198</v>
      </c>
      <c r="H19" s="2" t="s">
        <v>199</v>
      </c>
      <c r="I19" t="s">
        <v>14</v>
      </c>
      <c r="J19" t="s">
        <v>9</v>
      </c>
      <c r="K19" t="s">
        <v>200</v>
      </c>
      <c r="L19" t="s">
        <v>201</v>
      </c>
      <c r="M19" t="s">
        <v>202</v>
      </c>
      <c r="N19" t="s">
        <v>203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204</v>
      </c>
      <c r="B20" t="s">
        <v>205</v>
      </c>
      <c r="C20" t="s">
        <v>2</v>
      </c>
      <c r="D20" t="s">
        <v>206</v>
      </c>
      <c r="E20" t="s">
        <v>207</v>
      </c>
      <c r="F20" t="s">
        <v>208</v>
      </c>
      <c r="G20" t="s">
        <v>209</v>
      </c>
      <c r="H20" s="2" t="s">
        <v>210</v>
      </c>
      <c r="I20" t="s">
        <v>14</v>
      </c>
      <c r="J20" t="s">
        <v>48</v>
      </c>
      <c r="K20" t="s">
        <v>211</v>
      </c>
      <c r="L20" t="s">
        <v>212</v>
      </c>
      <c r="M20" t="s">
        <v>213</v>
      </c>
      <c r="N20" t="s">
        <v>214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53</v>
      </c>
    </row>
    <row r="21" spans="1:20">
      <c r="A21" t="s">
        <v>215</v>
      </c>
      <c r="B21" t="s">
        <v>216</v>
      </c>
      <c r="C21" t="s">
        <v>217</v>
      </c>
      <c r="D21" t="s">
        <v>218</v>
      </c>
      <c r="E21" t="s">
        <v>219</v>
      </c>
      <c r="F21" t="s">
        <v>220</v>
      </c>
      <c r="G21" t="s">
        <v>221</v>
      </c>
      <c r="H21" s="2" t="s">
        <v>222</v>
      </c>
      <c r="I21" t="s">
        <v>78</v>
      </c>
      <c r="J21" t="s">
        <v>9</v>
      </c>
      <c r="K21" t="s">
        <v>223</v>
      </c>
      <c r="L21" t="s">
        <v>224</v>
      </c>
      <c r="M21" t="s">
        <v>225</v>
      </c>
      <c r="N21" t="s">
        <v>226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227</v>
      </c>
    </row>
    <row r="22" spans="1:20">
      <c r="A22" t="s">
        <v>228</v>
      </c>
      <c r="B22" t="s">
        <v>229</v>
      </c>
      <c r="C22" t="s">
        <v>2</v>
      </c>
      <c r="D22" t="s">
        <v>230</v>
      </c>
      <c r="E22" t="s">
        <v>231</v>
      </c>
      <c r="F22" t="s">
        <v>232</v>
      </c>
      <c r="G22" t="s">
        <v>233</v>
      </c>
      <c r="H22" s="2" t="s">
        <v>234</v>
      </c>
      <c r="I22" t="s">
        <v>8</v>
      </c>
      <c r="J22" t="s">
        <v>9</v>
      </c>
      <c r="K22" t="s">
        <v>223</v>
      </c>
      <c r="L22" t="s">
        <v>235</v>
      </c>
      <c r="M22" t="s">
        <v>236</v>
      </c>
      <c r="N22" t="s">
        <v>237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227</v>
      </c>
    </row>
    <row r="23" spans="1:20">
      <c r="A23" t="s">
        <v>238</v>
      </c>
      <c r="B23" t="s">
        <v>239</v>
      </c>
      <c r="C23" t="s">
        <v>2</v>
      </c>
      <c r="D23" t="s">
        <v>240</v>
      </c>
      <c r="E23" t="s">
        <v>241</v>
      </c>
      <c r="F23" t="s">
        <v>242</v>
      </c>
      <c r="G23" t="s">
        <v>243</v>
      </c>
      <c r="H23" s="2" t="s">
        <v>244</v>
      </c>
      <c r="I23" t="s">
        <v>78</v>
      </c>
      <c r="J23" t="s">
        <v>48</v>
      </c>
      <c r="K23" t="s">
        <v>245</v>
      </c>
      <c r="L23" t="s">
        <v>246</v>
      </c>
      <c r="M23" t="s">
        <v>247</v>
      </c>
      <c r="N23" t="s">
        <v>248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87</v>
      </c>
    </row>
    <row r="24" spans="1:20">
      <c r="A24" t="s">
        <v>249</v>
      </c>
      <c r="B24" t="s">
        <v>250</v>
      </c>
      <c r="C24" t="s">
        <v>18</v>
      </c>
      <c r="D24" t="s">
        <v>251</v>
      </c>
      <c r="E24" t="s">
        <v>252</v>
      </c>
      <c r="F24" t="s">
        <v>253</v>
      </c>
      <c r="G24" t="s">
        <v>254</v>
      </c>
      <c r="H24" s="2" t="s">
        <v>255</v>
      </c>
      <c r="I24" t="s">
        <v>8</v>
      </c>
      <c r="J24" t="s">
        <v>9</v>
      </c>
      <c r="K24" t="s">
        <v>256</v>
      </c>
      <c r="L24" t="s">
        <v>257</v>
      </c>
      <c r="M24" t="s">
        <v>258</v>
      </c>
      <c r="N24" t="s">
        <v>259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15</v>
      </c>
    </row>
    <row r="25" spans="1:20">
      <c r="A25" t="s">
        <v>260</v>
      </c>
      <c r="B25" t="s">
        <v>261</v>
      </c>
      <c r="C25" t="s">
        <v>18</v>
      </c>
      <c r="D25" t="s">
        <v>262</v>
      </c>
      <c r="E25" t="s">
        <v>263</v>
      </c>
      <c r="F25" t="s">
        <v>264</v>
      </c>
      <c r="G25" t="s">
        <v>265</v>
      </c>
      <c r="H25" s="2" t="s">
        <v>266</v>
      </c>
      <c r="I25" t="s">
        <v>189</v>
      </c>
      <c r="J25" t="s">
        <v>9</v>
      </c>
      <c r="K25" t="s">
        <v>128</v>
      </c>
      <c r="L25" t="s">
        <v>267</v>
      </c>
      <c r="M25" t="s">
        <v>268</v>
      </c>
      <c r="N25" t="s">
        <v>269</v>
      </c>
      <c r="O25" s="3">
        <f>HYPERLINK(".\.\export_data\inspection_reports\80455_isles of scilly", ".\export_data\inspection_reports\80455_isles of scilly")</f>
        <v>0</v>
      </c>
      <c r="P25" t="s">
        <v>189</v>
      </c>
      <c r="Q25" t="s">
        <v>189</v>
      </c>
      <c r="R25" t="s">
        <v>14</v>
      </c>
      <c r="S25" t="s">
        <v>14</v>
      </c>
      <c r="T25" t="s">
        <v>15</v>
      </c>
    </row>
    <row r="26" spans="1:20">
      <c r="A26" t="s">
        <v>270</v>
      </c>
      <c r="B26" t="s">
        <v>271</v>
      </c>
      <c r="C26" t="s">
        <v>42</v>
      </c>
      <c r="D26" t="s">
        <v>272</v>
      </c>
      <c r="E26" t="s">
        <v>273</v>
      </c>
      <c r="F26" t="s">
        <v>274</v>
      </c>
      <c r="G26" t="s">
        <v>275</v>
      </c>
      <c r="H26" s="2" t="s">
        <v>276</v>
      </c>
      <c r="I26" t="s">
        <v>78</v>
      </c>
      <c r="J26" t="s">
        <v>9</v>
      </c>
      <c r="K26" t="s">
        <v>277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53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86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78</v>
      </c>
      <c r="J28" t="s">
        <v>9</v>
      </c>
      <c r="K28" t="s">
        <v>62</v>
      </c>
      <c r="L28" t="s">
        <v>299</v>
      </c>
      <c r="M28" t="s">
        <v>300</v>
      </c>
      <c r="N28" t="s">
        <v>301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53</v>
      </c>
    </row>
    <row r="29" spans="1:20">
      <c r="A29" t="s">
        <v>302</v>
      </c>
      <c r="B29" t="s">
        <v>303</v>
      </c>
      <c r="C29" t="s">
        <v>304</v>
      </c>
      <c r="D29" t="s">
        <v>305</v>
      </c>
      <c r="E29" t="s">
        <v>306</v>
      </c>
      <c r="F29" t="s">
        <v>307</v>
      </c>
      <c r="G29" t="s">
        <v>308</v>
      </c>
      <c r="H29" s="2" t="s">
        <v>309</v>
      </c>
      <c r="I29" t="s">
        <v>78</v>
      </c>
      <c r="J29" t="s">
        <v>9</v>
      </c>
      <c r="K29" t="s">
        <v>74</v>
      </c>
      <c r="L29" t="s">
        <v>310</v>
      </c>
      <c r="M29" t="s">
        <v>311</v>
      </c>
      <c r="N29" t="s">
        <v>312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28</v>
      </c>
    </row>
    <row r="30" spans="1:20">
      <c r="A30" t="s">
        <v>313</v>
      </c>
      <c r="B30" t="s">
        <v>314</v>
      </c>
      <c r="C30" t="s">
        <v>304</v>
      </c>
      <c r="D30" t="s">
        <v>315</v>
      </c>
      <c r="E30" t="s">
        <v>316</v>
      </c>
      <c r="F30" t="s">
        <v>317</v>
      </c>
      <c r="G30" t="s">
        <v>318</v>
      </c>
      <c r="H30" s="2" t="s">
        <v>319</v>
      </c>
      <c r="I30" t="s">
        <v>8</v>
      </c>
      <c r="J30" t="s">
        <v>48</v>
      </c>
      <c r="K30" t="s">
        <v>49</v>
      </c>
      <c r="L30" t="s">
        <v>320</v>
      </c>
      <c r="M30" t="s">
        <v>321</v>
      </c>
      <c r="N30" t="s">
        <v>322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323</v>
      </c>
      <c r="B31" t="s">
        <v>324</v>
      </c>
      <c r="C31" t="s">
        <v>18</v>
      </c>
      <c r="D31" t="s">
        <v>325</v>
      </c>
      <c r="E31" t="s">
        <v>326</v>
      </c>
      <c r="F31" t="s">
        <v>327</v>
      </c>
      <c r="G31" t="s">
        <v>328</v>
      </c>
      <c r="H31" s="2" t="s">
        <v>329</v>
      </c>
      <c r="I31" t="s">
        <v>189</v>
      </c>
      <c r="J31" t="s">
        <v>48</v>
      </c>
      <c r="K31" t="s">
        <v>117</v>
      </c>
      <c r="L31" t="s">
        <v>330</v>
      </c>
      <c r="M31" t="s">
        <v>331</v>
      </c>
      <c r="N31" t="s">
        <v>332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189</v>
      </c>
      <c r="R31" t="s">
        <v>189</v>
      </c>
      <c r="S31" t="s">
        <v>189</v>
      </c>
      <c r="T31" t="s">
        <v>333</v>
      </c>
    </row>
    <row r="32" spans="1:20">
      <c r="A32" t="s">
        <v>334</v>
      </c>
      <c r="B32" t="s">
        <v>335</v>
      </c>
      <c r="C32" t="s">
        <v>2</v>
      </c>
      <c r="D32" t="s">
        <v>336</v>
      </c>
      <c r="E32" t="s">
        <v>337</v>
      </c>
      <c r="F32" t="s">
        <v>338</v>
      </c>
      <c r="G32" t="s">
        <v>339</v>
      </c>
      <c r="H32" s="2" t="s">
        <v>340</v>
      </c>
      <c r="I32" t="s">
        <v>8</v>
      </c>
      <c r="J32" t="s">
        <v>48</v>
      </c>
      <c r="K32" t="s">
        <v>211</v>
      </c>
      <c r="L32" t="s">
        <v>341</v>
      </c>
      <c r="M32" t="s">
        <v>342</v>
      </c>
      <c r="N32" t="s">
        <v>343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53</v>
      </c>
    </row>
    <row r="33" spans="1:20">
      <c r="A33" t="s">
        <v>344</v>
      </c>
      <c r="B33" t="s">
        <v>345</v>
      </c>
      <c r="C33" t="s">
        <v>18</v>
      </c>
      <c r="D33" t="s">
        <v>346</v>
      </c>
      <c r="E33" t="s">
        <v>347</v>
      </c>
      <c r="F33" t="s">
        <v>348</v>
      </c>
      <c r="G33" t="s">
        <v>349</v>
      </c>
      <c r="H33" s="2" t="s">
        <v>350</v>
      </c>
      <c r="I33" t="s">
        <v>78</v>
      </c>
      <c r="J33" t="s">
        <v>9</v>
      </c>
      <c r="K33" t="s">
        <v>256</v>
      </c>
      <c r="L33" t="s">
        <v>351</v>
      </c>
      <c r="M33" t="s">
        <v>352</v>
      </c>
      <c r="N33" t="s">
        <v>353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15</v>
      </c>
    </row>
    <row r="34" spans="1:20">
      <c r="A34" t="s">
        <v>354</v>
      </c>
      <c r="B34" t="s">
        <v>355</v>
      </c>
      <c r="C34" t="s">
        <v>42</v>
      </c>
      <c r="D34" t="s">
        <v>356</v>
      </c>
      <c r="E34" t="s">
        <v>357</v>
      </c>
      <c r="F34" t="s">
        <v>358</v>
      </c>
      <c r="G34" t="s">
        <v>359</v>
      </c>
      <c r="H34" s="2" t="s">
        <v>360</v>
      </c>
      <c r="I34" t="s">
        <v>73</v>
      </c>
      <c r="J34" t="s">
        <v>48</v>
      </c>
      <c r="K34" t="s">
        <v>190</v>
      </c>
      <c r="L34" t="s">
        <v>361</v>
      </c>
      <c r="M34" t="s">
        <v>362</v>
      </c>
      <c r="N34" t="s">
        <v>363</v>
      </c>
      <c r="O34" s="3">
        <f>HYPERLINK(".\.\export_data\inspection_reports\80464_dudley", ".\export_data\inspection_reports\80464_dudley")</f>
        <v>0</v>
      </c>
      <c r="P34" t="s">
        <v>189</v>
      </c>
      <c r="Q34" t="s">
        <v>189</v>
      </c>
      <c r="R34" t="s">
        <v>189</v>
      </c>
      <c r="S34" t="s">
        <v>189</v>
      </c>
      <c r="T34" t="s">
        <v>53</v>
      </c>
    </row>
    <row r="35" spans="1:20">
      <c r="A35" t="s">
        <v>364</v>
      </c>
      <c r="B35" t="s">
        <v>365</v>
      </c>
      <c r="C35" t="s">
        <v>293</v>
      </c>
      <c r="D35" t="s">
        <v>366</v>
      </c>
      <c r="E35" t="s">
        <v>367</v>
      </c>
      <c r="F35" t="s">
        <v>368</v>
      </c>
      <c r="G35" t="s">
        <v>369</v>
      </c>
      <c r="H35" s="2" t="s">
        <v>370</v>
      </c>
      <c r="I35" t="s">
        <v>78</v>
      </c>
      <c r="J35" t="s">
        <v>9</v>
      </c>
      <c r="K35" t="s">
        <v>371</v>
      </c>
      <c r="L35" t="s">
        <v>235</v>
      </c>
      <c r="M35" t="s">
        <v>236</v>
      </c>
      <c r="N35" t="s">
        <v>332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28</v>
      </c>
    </row>
    <row r="36" spans="1:20">
      <c r="A36" t="s">
        <v>372</v>
      </c>
      <c r="B36" t="s">
        <v>373</v>
      </c>
      <c r="C36" t="s">
        <v>2</v>
      </c>
      <c r="D36" t="s">
        <v>374</v>
      </c>
      <c r="E36" t="s">
        <v>375</v>
      </c>
      <c r="F36" t="s">
        <v>376</v>
      </c>
      <c r="G36" t="s">
        <v>377</v>
      </c>
      <c r="H36" s="2" t="s">
        <v>378</v>
      </c>
      <c r="I36" t="s">
        <v>8</v>
      </c>
      <c r="J36" t="s">
        <v>48</v>
      </c>
      <c r="K36" t="s">
        <v>379</v>
      </c>
      <c r="L36" t="s">
        <v>380</v>
      </c>
      <c r="M36" t="s">
        <v>381</v>
      </c>
      <c r="N36" t="s">
        <v>382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383</v>
      </c>
      <c r="B37" t="s">
        <v>384</v>
      </c>
      <c r="C37" t="s">
        <v>100</v>
      </c>
      <c r="D37" t="s">
        <v>385</v>
      </c>
      <c r="E37" t="s">
        <v>386</v>
      </c>
      <c r="F37" t="s">
        <v>387</v>
      </c>
      <c r="G37" t="s">
        <v>388</v>
      </c>
      <c r="H37" s="2" t="s">
        <v>389</v>
      </c>
      <c r="I37" t="s">
        <v>8</v>
      </c>
      <c r="J37" t="s">
        <v>9</v>
      </c>
      <c r="K37" t="s">
        <v>390</v>
      </c>
      <c r="L37" t="s">
        <v>391</v>
      </c>
      <c r="M37" t="s">
        <v>392</v>
      </c>
      <c r="N37" t="s">
        <v>393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394</v>
      </c>
    </row>
    <row r="38" spans="1:20">
      <c r="A38" t="s">
        <v>395</v>
      </c>
      <c r="B38" t="s">
        <v>396</v>
      </c>
      <c r="C38" t="s">
        <v>31</v>
      </c>
      <c r="D38" t="s">
        <v>397</v>
      </c>
      <c r="E38" t="s">
        <v>398</v>
      </c>
      <c r="F38" t="s">
        <v>399</v>
      </c>
      <c r="G38" t="s">
        <v>400</v>
      </c>
      <c r="H38" s="2" t="s">
        <v>401</v>
      </c>
      <c r="I38" t="s">
        <v>78</v>
      </c>
      <c r="J38" t="s">
        <v>9</v>
      </c>
      <c r="K38" t="s">
        <v>402</v>
      </c>
      <c r="L38" t="s">
        <v>403</v>
      </c>
      <c r="M38" t="s">
        <v>404</v>
      </c>
      <c r="N38" t="s">
        <v>405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406</v>
      </c>
      <c r="B39" t="s">
        <v>407</v>
      </c>
      <c r="C39" t="s">
        <v>293</v>
      </c>
      <c r="D39" t="s">
        <v>408</v>
      </c>
      <c r="E39" t="s">
        <v>409</v>
      </c>
      <c r="F39" t="s">
        <v>410</v>
      </c>
      <c r="G39" t="s">
        <v>411</v>
      </c>
      <c r="H39" s="2" t="s">
        <v>412</v>
      </c>
      <c r="I39" t="s">
        <v>8</v>
      </c>
      <c r="J39" t="s">
        <v>9</v>
      </c>
      <c r="K39" t="s">
        <v>245</v>
      </c>
      <c r="L39" t="s">
        <v>95</v>
      </c>
      <c r="M39" t="s">
        <v>413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87</v>
      </c>
    </row>
    <row r="40" spans="1:20">
      <c r="A40" t="s">
        <v>414</v>
      </c>
      <c r="B40" t="s">
        <v>415</v>
      </c>
      <c r="C40" t="s">
        <v>18</v>
      </c>
      <c r="D40" t="s">
        <v>416</v>
      </c>
      <c r="E40" t="s">
        <v>417</v>
      </c>
      <c r="F40" t="s">
        <v>418</v>
      </c>
      <c r="G40" t="s">
        <v>419</v>
      </c>
      <c r="H40" s="2" t="s">
        <v>420</v>
      </c>
      <c r="I40" t="s">
        <v>8</v>
      </c>
      <c r="J40" t="s">
        <v>48</v>
      </c>
      <c r="K40" t="s">
        <v>277</v>
      </c>
      <c r="L40" t="s">
        <v>25</v>
      </c>
      <c r="M40" t="s">
        <v>151</v>
      </c>
      <c r="N40" t="s">
        <v>421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53</v>
      </c>
    </row>
    <row r="41" spans="1:20">
      <c r="A41" t="s">
        <v>422</v>
      </c>
      <c r="B41" t="s">
        <v>423</v>
      </c>
      <c r="C41" t="s">
        <v>56</v>
      </c>
      <c r="D41" t="s">
        <v>424</v>
      </c>
      <c r="E41" t="s">
        <v>425</v>
      </c>
      <c r="F41" t="s">
        <v>426</v>
      </c>
      <c r="G41" t="s">
        <v>427</v>
      </c>
      <c r="H41" s="2" t="s">
        <v>428</v>
      </c>
      <c r="I41" t="s">
        <v>189</v>
      </c>
      <c r="J41" t="s">
        <v>48</v>
      </c>
      <c r="K41" t="s">
        <v>429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189</v>
      </c>
      <c r="Q41" t="s">
        <v>189</v>
      </c>
      <c r="R41" t="s">
        <v>189</v>
      </c>
      <c r="S41" t="s">
        <v>189</v>
      </c>
      <c r="T41" t="s">
        <v>433</v>
      </c>
    </row>
    <row r="42" spans="1:20">
      <c r="A42" t="s">
        <v>434</v>
      </c>
      <c r="B42" t="s">
        <v>435</v>
      </c>
      <c r="C42" t="s">
        <v>100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78</v>
      </c>
      <c r="J42" t="s">
        <v>9</v>
      </c>
      <c r="K42" t="s">
        <v>402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293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78</v>
      </c>
      <c r="J43" t="s">
        <v>9</v>
      </c>
      <c r="K43" t="s">
        <v>379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150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53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73</v>
      </c>
      <c r="J45" t="s">
        <v>9</v>
      </c>
      <c r="K45" t="s">
        <v>277</v>
      </c>
      <c r="L45" t="s">
        <v>470</v>
      </c>
      <c r="M45" t="s">
        <v>362</v>
      </c>
      <c r="N45" t="s">
        <v>363</v>
      </c>
      <c r="O45" s="3">
        <f>HYPERLINK(".\.\export_data\inspection_reports\80475_hertfordshire", ".\export_data\inspection_reports\80475_hertfordshire")</f>
        <v>0</v>
      </c>
      <c r="P45" t="s">
        <v>78</v>
      </c>
      <c r="Q45" t="s">
        <v>8</v>
      </c>
      <c r="R45" t="s">
        <v>78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100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320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100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433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245</v>
      </c>
      <c r="L48" t="s">
        <v>498</v>
      </c>
      <c r="M48" t="s">
        <v>279</v>
      </c>
      <c r="N48" t="s">
        <v>280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87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202</v>
      </c>
      <c r="N49" t="s">
        <v>203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189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189</v>
      </c>
      <c r="Q50" t="s">
        <v>189</v>
      </c>
      <c r="R50" t="s">
        <v>14</v>
      </c>
      <c r="S50" t="s">
        <v>189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73</v>
      </c>
      <c r="J51" t="s">
        <v>48</v>
      </c>
      <c r="K51" t="s">
        <v>245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78</v>
      </c>
      <c r="Q51" t="s">
        <v>8</v>
      </c>
      <c r="R51" t="s">
        <v>8</v>
      </c>
      <c r="S51" t="s">
        <v>78</v>
      </c>
      <c r="T51" t="s">
        <v>87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78</v>
      </c>
      <c r="J52" t="s">
        <v>9</v>
      </c>
      <c r="K52" t="s">
        <v>211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53</v>
      </c>
    </row>
    <row r="53" spans="1:20">
      <c r="A53" t="s">
        <v>539</v>
      </c>
      <c r="B53" t="s">
        <v>540</v>
      </c>
      <c r="C53" t="s">
        <v>304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390</v>
      </c>
      <c r="L53" t="s">
        <v>224</v>
      </c>
      <c r="M53" t="s">
        <v>225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394</v>
      </c>
    </row>
    <row r="54" spans="1:20">
      <c r="A54" t="s">
        <v>546</v>
      </c>
      <c r="B54" t="s">
        <v>547</v>
      </c>
      <c r="C54" t="s">
        <v>304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78</v>
      </c>
      <c r="J54" t="s">
        <v>48</v>
      </c>
      <c r="K54" t="s">
        <v>371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28</v>
      </c>
    </row>
    <row r="55" spans="1:20">
      <c r="A55" t="s">
        <v>555</v>
      </c>
      <c r="B55" t="s">
        <v>556</v>
      </c>
      <c r="C55" t="s">
        <v>304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78</v>
      </c>
      <c r="J55" t="s">
        <v>9</v>
      </c>
      <c r="K55" t="s">
        <v>74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28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73</v>
      </c>
      <c r="J56" t="s">
        <v>48</v>
      </c>
      <c r="K56" t="s">
        <v>190</v>
      </c>
      <c r="L56" t="s">
        <v>526</v>
      </c>
      <c r="M56" t="s">
        <v>527</v>
      </c>
      <c r="N56" t="s">
        <v>572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53</v>
      </c>
    </row>
    <row r="57" spans="1:20">
      <c r="A57" t="s">
        <v>573</v>
      </c>
      <c r="B57" t="s">
        <v>574</v>
      </c>
      <c r="C57" t="s">
        <v>217</v>
      </c>
      <c r="D57" t="s">
        <v>575</v>
      </c>
      <c r="E57" t="s">
        <v>576</v>
      </c>
      <c r="F57" t="s">
        <v>577</v>
      </c>
      <c r="G57" t="s">
        <v>578</v>
      </c>
      <c r="H57" s="2" t="s">
        <v>579</v>
      </c>
      <c r="I57" t="s">
        <v>14</v>
      </c>
      <c r="J57" t="s">
        <v>48</v>
      </c>
      <c r="K57" t="s">
        <v>106</v>
      </c>
      <c r="L57" t="s">
        <v>580</v>
      </c>
      <c r="M57" t="s">
        <v>581</v>
      </c>
      <c r="N57" t="s">
        <v>582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28</v>
      </c>
    </row>
    <row r="58" spans="1:20">
      <c r="A58" t="s">
        <v>583</v>
      </c>
      <c r="B58" t="s">
        <v>584</v>
      </c>
      <c r="C58" t="s">
        <v>217</v>
      </c>
      <c r="D58" t="s">
        <v>585</v>
      </c>
      <c r="E58" t="s">
        <v>586</v>
      </c>
      <c r="F58" t="s">
        <v>587</v>
      </c>
      <c r="G58" t="s">
        <v>588</v>
      </c>
      <c r="H58" s="2" t="s">
        <v>589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28</v>
      </c>
    </row>
    <row r="59" spans="1:20">
      <c r="A59" t="s">
        <v>590</v>
      </c>
      <c r="B59" t="s">
        <v>591</v>
      </c>
      <c r="C59" t="s">
        <v>217</v>
      </c>
      <c r="D59" t="s">
        <v>592</v>
      </c>
      <c r="E59" t="s">
        <v>593</v>
      </c>
      <c r="F59" t="s">
        <v>594</v>
      </c>
      <c r="G59" t="s">
        <v>595</v>
      </c>
      <c r="H59" s="2" t="s">
        <v>596</v>
      </c>
      <c r="I59" t="s">
        <v>78</v>
      </c>
      <c r="J59" t="s">
        <v>9</v>
      </c>
      <c r="K59" t="s">
        <v>390</v>
      </c>
      <c r="L59" t="s">
        <v>597</v>
      </c>
      <c r="M59" t="s">
        <v>381</v>
      </c>
      <c r="N59" t="s">
        <v>382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394</v>
      </c>
    </row>
    <row r="60" spans="1:20">
      <c r="A60" t="s">
        <v>598</v>
      </c>
      <c r="B60" t="s">
        <v>599</v>
      </c>
      <c r="C60" t="s">
        <v>217</v>
      </c>
      <c r="D60" t="s">
        <v>600</v>
      </c>
      <c r="E60" t="s">
        <v>601</v>
      </c>
      <c r="F60" t="s">
        <v>602</v>
      </c>
      <c r="G60" t="s">
        <v>603</v>
      </c>
      <c r="H60" s="2" t="s">
        <v>604</v>
      </c>
      <c r="I60" t="s">
        <v>73</v>
      </c>
      <c r="J60" t="s">
        <v>9</v>
      </c>
      <c r="K60" t="s">
        <v>605</v>
      </c>
      <c r="L60" t="s">
        <v>606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609</v>
      </c>
      <c r="B61" t="s">
        <v>610</v>
      </c>
      <c r="C61" t="s">
        <v>217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78</v>
      </c>
      <c r="J61" t="s">
        <v>9</v>
      </c>
      <c r="K61" t="s">
        <v>616</v>
      </c>
      <c r="L61" t="s">
        <v>617</v>
      </c>
      <c r="M61" t="s">
        <v>618</v>
      </c>
      <c r="N61" t="s">
        <v>322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87</v>
      </c>
    </row>
    <row r="62" spans="1:20">
      <c r="A62" t="s">
        <v>619</v>
      </c>
      <c r="B62" t="s">
        <v>620</v>
      </c>
      <c r="C62" t="s">
        <v>217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78</v>
      </c>
      <c r="J62" t="s">
        <v>9</v>
      </c>
      <c r="K62" t="s">
        <v>616</v>
      </c>
      <c r="L62" t="s">
        <v>63</v>
      </c>
      <c r="M62" t="s">
        <v>247</v>
      </c>
      <c r="N62" t="s">
        <v>248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87</v>
      </c>
    </row>
    <row r="63" spans="1:20">
      <c r="A63" t="s">
        <v>626</v>
      </c>
      <c r="B63" t="s">
        <v>627</v>
      </c>
      <c r="C63" t="s">
        <v>217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223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227</v>
      </c>
    </row>
    <row r="64" spans="1:20">
      <c r="A64" t="s">
        <v>636</v>
      </c>
      <c r="B64" t="s">
        <v>637</v>
      </c>
      <c r="C64" t="s">
        <v>217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390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394</v>
      </c>
    </row>
    <row r="65" spans="1:20">
      <c r="A65" t="s">
        <v>643</v>
      </c>
      <c r="B65" t="s">
        <v>644</v>
      </c>
      <c r="C65" t="s">
        <v>217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223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227</v>
      </c>
    </row>
    <row r="66" spans="1:20">
      <c r="A66" t="s">
        <v>653</v>
      </c>
      <c r="B66" t="s">
        <v>654</v>
      </c>
      <c r="C66" t="s">
        <v>217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78</v>
      </c>
      <c r="J66" t="s">
        <v>9</v>
      </c>
      <c r="K66" t="s">
        <v>390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394</v>
      </c>
    </row>
    <row r="67" spans="1:20">
      <c r="A67" t="s">
        <v>663</v>
      </c>
      <c r="B67" t="s">
        <v>664</v>
      </c>
      <c r="C67" t="s">
        <v>217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74</v>
      </c>
      <c r="L67" t="s">
        <v>257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28</v>
      </c>
    </row>
    <row r="68" spans="1:20">
      <c r="A68" t="s">
        <v>672</v>
      </c>
      <c r="B68" t="s">
        <v>673</v>
      </c>
      <c r="C68" t="s">
        <v>217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78</v>
      </c>
      <c r="J68" t="s">
        <v>9</v>
      </c>
      <c r="K68" t="s">
        <v>223</v>
      </c>
      <c r="L68" t="s">
        <v>679</v>
      </c>
      <c r="M68" t="s">
        <v>171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227</v>
      </c>
    </row>
    <row r="69" spans="1:20">
      <c r="A69" t="s">
        <v>680</v>
      </c>
      <c r="B69" t="s">
        <v>681</v>
      </c>
      <c r="C69" t="s">
        <v>217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78</v>
      </c>
      <c r="J69" t="s">
        <v>9</v>
      </c>
      <c r="K69" t="s">
        <v>223</v>
      </c>
      <c r="L69" t="s">
        <v>212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227</v>
      </c>
    </row>
    <row r="70" spans="1:20">
      <c r="A70" t="s">
        <v>689</v>
      </c>
      <c r="B70" t="s">
        <v>690</v>
      </c>
      <c r="C70" t="s">
        <v>217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189</v>
      </c>
      <c r="J70" t="s">
        <v>9</v>
      </c>
      <c r="K70" t="s">
        <v>515</v>
      </c>
      <c r="L70" t="s">
        <v>341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189</v>
      </c>
      <c r="T70" t="s">
        <v>15</v>
      </c>
    </row>
    <row r="71" spans="1:20">
      <c r="A71" t="s">
        <v>698</v>
      </c>
      <c r="B71" t="s">
        <v>699</v>
      </c>
      <c r="C71" t="s">
        <v>217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189</v>
      </c>
      <c r="J71" t="s">
        <v>48</v>
      </c>
      <c r="K71" t="s">
        <v>616</v>
      </c>
      <c r="L71" t="s">
        <v>391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189</v>
      </c>
      <c r="Q71" t="s">
        <v>189</v>
      </c>
      <c r="R71" t="s">
        <v>189</v>
      </c>
      <c r="S71" t="s">
        <v>14</v>
      </c>
      <c r="T71" t="s">
        <v>87</v>
      </c>
    </row>
    <row r="72" spans="1:20">
      <c r="A72" t="s">
        <v>707</v>
      </c>
      <c r="B72" t="s">
        <v>708</v>
      </c>
      <c r="C72" t="s">
        <v>217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78</v>
      </c>
      <c r="J72" t="s">
        <v>9</v>
      </c>
      <c r="K72" t="s">
        <v>223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227</v>
      </c>
    </row>
    <row r="73" spans="1:20">
      <c r="A73" t="s">
        <v>717</v>
      </c>
      <c r="B73" t="s">
        <v>718</v>
      </c>
      <c r="C73" t="s">
        <v>217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87</v>
      </c>
    </row>
    <row r="74" spans="1:20">
      <c r="A74" t="s">
        <v>727</v>
      </c>
      <c r="B74" t="s">
        <v>728</v>
      </c>
      <c r="C74" t="s">
        <v>217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78</v>
      </c>
      <c r="J74" t="s">
        <v>9</v>
      </c>
      <c r="K74" t="s">
        <v>256</v>
      </c>
      <c r="L74" t="s">
        <v>95</v>
      </c>
      <c r="M74" t="s">
        <v>413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15</v>
      </c>
    </row>
    <row r="75" spans="1:20">
      <c r="A75" t="s">
        <v>734</v>
      </c>
      <c r="B75" t="s">
        <v>735</v>
      </c>
      <c r="C75" t="s">
        <v>217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212</v>
      </c>
      <c r="M75" t="s">
        <v>213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53</v>
      </c>
    </row>
    <row r="76" spans="1:20">
      <c r="A76" t="s">
        <v>743</v>
      </c>
      <c r="B76" t="s">
        <v>744</v>
      </c>
      <c r="C76" t="s">
        <v>217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392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53</v>
      </c>
    </row>
    <row r="77" spans="1:20">
      <c r="A77" t="s">
        <v>753</v>
      </c>
      <c r="B77" t="s">
        <v>754</v>
      </c>
      <c r="C77" t="s">
        <v>217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78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87</v>
      </c>
    </row>
    <row r="78" spans="1:20">
      <c r="A78" t="s">
        <v>760</v>
      </c>
      <c r="B78" t="s">
        <v>761</v>
      </c>
      <c r="C78" t="s">
        <v>217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78</v>
      </c>
      <c r="J78" t="s">
        <v>9</v>
      </c>
      <c r="K78" t="s">
        <v>371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28</v>
      </c>
    </row>
    <row r="79" spans="1:20">
      <c r="A79" t="s">
        <v>768</v>
      </c>
      <c r="B79" t="s">
        <v>769</v>
      </c>
      <c r="C79" t="s">
        <v>217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78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433</v>
      </c>
    </row>
    <row r="80" spans="1:20">
      <c r="A80" t="s">
        <v>776</v>
      </c>
      <c r="B80" t="s">
        <v>777</v>
      </c>
      <c r="C80" t="s">
        <v>217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78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87</v>
      </c>
    </row>
    <row r="81" spans="1:20">
      <c r="A81" t="s">
        <v>783</v>
      </c>
      <c r="B81" t="s">
        <v>784</v>
      </c>
      <c r="C81" t="s">
        <v>217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278</v>
      </c>
      <c r="M81" t="s">
        <v>279</v>
      </c>
      <c r="N81" t="s">
        <v>280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53</v>
      </c>
    </row>
    <row r="82" spans="1:20">
      <c r="A82" t="s">
        <v>790</v>
      </c>
      <c r="B82" t="s">
        <v>791</v>
      </c>
      <c r="C82" t="s">
        <v>217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53</v>
      </c>
    </row>
    <row r="83" spans="1:20">
      <c r="A83" t="s">
        <v>798</v>
      </c>
      <c r="B83" t="s">
        <v>799</v>
      </c>
      <c r="C83" t="s">
        <v>217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78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808</v>
      </c>
      <c r="B84" t="s">
        <v>809</v>
      </c>
      <c r="C84" t="s">
        <v>217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217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78</v>
      </c>
      <c r="J85" t="s">
        <v>9</v>
      </c>
      <c r="K85" t="s">
        <v>605</v>
      </c>
      <c r="L85" t="s">
        <v>498</v>
      </c>
      <c r="M85" t="s">
        <v>823</v>
      </c>
      <c r="N85" t="s">
        <v>280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824</v>
      </c>
      <c r="B86" t="s">
        <v>825</v>
      </c>
      <c r="C86" t="s">
        <v>217</v>
      </c>
      <c r="D86" t="s">
        <v>826</v>
      </c>
      <c r="E86" t="s">
        <v>827</v>
      </c>
      <c r="F86" t="s">
        <v>828</v>
      </c>
      <c r="G86" t="s">
        <v>829</v>
      </c>
      <c r="H86" s="2" t="s">
        <v>830</v>
      </c>
      <c r="I86" t="s">
        <v>78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28</v>
      </c>
    </row>
    <row r="87" spans="1:20">
      <c r="A87" t="s">
        <v>831</v>
      </c>
      <c r="B87" t="s">
        <v>832</v>
      </c>
      <c r="C87" t="s">
        <v>31</v>
      </c>
      <c r="D87" t="s">
        <v>833</v>
      </c>
      <c r="E87" t="s">
        <v>834</v>
      </c>
      <c r="F87" t="s">
        <v>835</v>
      </c>
      <c r="G87" t="s">
        <v>836</v>
      </c>
      <c r="H87" s="2" t="s">
        <v>837</v>
      </c>
      <c r="I87" t="s">
        <v>8</v>
      </c>
      <c r="J87" t="s">
        <v>48</v>
      </c>
      <c r="K87" t="s">
        <v>150</v>
      </c>
      <c r="L87" t="s">
        <v>838</v>
      </c>
      <c r="M87" t="s">
        <v>839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53</v>
      </c>
    </row>
    <row r="88" spans="1:20">
      <c r="A88" t="s">
        <v>840</v>
      </c>
      <c r="B88" t="s">
        <v>841</v>
      </c>
      <c r="C88" t="s">
        <v>56</v>
      </c>
      <c r="D88" t="s">
        <v>842</v>
      </c>
      <c r="E88" t="s">
        <v>843</v>
      </c>
      <c r="F88" t="s">
        <v>844</v>
      </c>
      <c r="G88" t="s">
        <v>845</v>
      </c>
      <c r="H88" s="2" t="s">
        <v>846</v>
      </c>
      <c r="I88" t="s">
        <v>78</v>
      </c>
      <c r="J88" t="s">
        <v>48</v>
      </c>
      <c r="K88" t="s">
        <v>277</v>
      </c>
      <c r="L88" t="s">
        <v>847</v>
      </c>
      <c r="M88" t="s">
        <v>848</v>
      </c>
      <c r="N88" t="s">
        <v>849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53</v>
      </c>
    </row>
    <row r="89" spans="1:20">
      <c r="A89" t="s">
        <v>850</v>
      </c>
      <c r="B89" t="s">
        <v>851</v>
      </c>
      <c r="C89" t="s">
        <v>852</v>
      </c>
      <c r="D89" t="s">
        <v>853</v>
      </c>
      <c r="E89" t="s">
        <v>854</v>
      </c>
      <c r="F89" t="s">
        <v>855</v>
      </c>
      <c r="G89" t="s">
        <v>856</v>
      </c>
      <c r="H89" s="2" t="s">
        <v>857</v>
      </c>
      <c r="I89" t="s">
        <v>8</v>
      </c>
      <c r="J89" t="s">
        <v>48</v>
      </c>
      <c r="K89" t="s">
        <v>24</v>
      </c>
      <c r="L89" t="s">
        <v>858</v>
      </c>
      <c r="M89" t="s">
        <v>859</v>
      </c>
      <c r="N89" t="s">
        <v>860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861</v>
      </c>
      <c r="B90" t="s">
        <v>862</v>
      </c>
      <c r="C90" t="s">
        <v>293</v>
      </c>
      <c r="D90" t="s">
        <v>863</v>
      </c>
      <c r="E90" t="s">
        <v>864</v>
      </c>
      <c r="F90" t="s">
        <v>865</v>
      </c>
      <c r="G90" t="s">
        <v>866</v>
      </c>
      <c r="H90" s="2" t="s">
        <v>867</v>
      </c>
      <c r="I90" t="s">
        <v>73</v>
      </c>
      <c r="J90" t="s">
        <v>48</v>
      </c>
      <c r="K90" t="s">
        <v>868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120</v>
      </c>
    </row>
    <row r="91" spans="1:20">
      <c r="A91" t="s">
        <v>869</v>
      </c>
      <c r="B91" t="s">
        <v>870</v>
      </c>
      <c r="C91" t="s">
        <v>100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433</v>
      </c>
    </row>
    <row r="92" spans="1:20">
      <c r="A92" t="s">
        <v>879</v>
      </c>
      <c r="B92" t="s">
        <v>880</v>
      </c>
      <c r="C92" t="s">
        <v>293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245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87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78</v>
      </c>
      <c r="J93" t="s">
        <v>9</v>
      </c>
      <c r="K93" t="s">
        <v>896</v>
      </c>
      <c r="L93" t="s">
        <v>897</v>
      </c>
      <c r="M93" t="s">
        <v>898</v>
      </c>
      <c r="N93" t="s">
        <v>280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433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371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28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78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87</v>
      </c>
    </row>
    <row r="96" spans="1:20">
      <c r="A96" t="s">
        <v>918</v>
      </c>
      <c r="B96" t="s">
        <v>919</v>
      </c>
      <c r="C96" t="s">
        <v>304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73</v>
      </c>
      <c r="J96" t="s">
        <v>48</v>
      </c>
      <c r="K96" t="s">
        <v>925</v>
      </c>
      <c r="L96" t="s">
        <v>526</v>
      </c>
      <c r="M96" t="s">
        <v>527</v>
      </c>
      <c r="N96" t="s">
        <v>572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120</v>
      </c>
    </row>
    <row r="97" spans="1:20">
      <c r="A97" t="s">
        <v>926</v>
      </c>
      <c r="B97" t="s">
        <v>927</v>
      </c>
      <c r="C97" t="s">
        <v>18</v>
      </c>
      <c r="D97" t="s">
        <v>928</v>
      </c>
      <c r="E97" t="s">
        <v>929</v>
      </c>
      <c r="F97" t="s">
        <v>930</v>
      </c>
      <c r="G97" t="s">
        <v>931</v>
      </c>
      <c r="H97" s="2" t="s">
        <v>932</v>
      </c>
      <c r="I97" t="s">
        <v>14</v>
      </c>
      <c r="J97" t="s">
        <v>48</v>
      </c>
      <c r="K97" t="s">
        <v>10</v>
      </c>
      <c r="L97" t="s">
        <v>933</v>
      </c>
      <c r="M97" t="s">
        <v>934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293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78</v>
      </c>
      <c r="J98" t="s">
        <v>9</v>
      </c>
      <c r="K98" t="s">
        <v>371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28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78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120</v>
      </c>
    </row>
    <row r="100" spans="1:20">
      <c r="A100" t="s">
        <v>954</v>
      </c>
      <c r="B100" t="s">
        <v>955</v>
      </c>
      <c r="C100" t="s">
        <v>293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78</v>
      </c>
      <c r="J100" t="s">
        <v>9</v>
      </c>
      <c r="K100" t="s">
        <v>961</v>
      </c>
      <c r="L100" t="s">
        <v>962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433</v>
      </c>
    </row>
    <row r="101" spans="1:20">
      <c r="A101" t="s">
        <v>963</v>
      </c>
      <c r="B101" t="s">
        <v>964</v>
      </c>
      <c r="C101" t="s">
        <v>304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189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189</v>
      </c>
      <c r="R101" t="s">
        <v>14</v>
      </c>
      <c r="S101" t="s">
        <v>189</v>
      </c>
      <c r="T101" t="s">
        <v>433</v>
      </c>
    </row>
    <row r="102" spans="1:20">
      <c r="A102" t="s">
        <v>971</v>
      </c>
      <c r="B102" t="s">
        <v>972</v>
      </c>
      <c r="C102" t="s">
        <v>304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53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161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53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189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189</v>
      </c>
      <c r="T105" t="s">
        <v>433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100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73</v>
      </c>
      <c r="J107" t="s">
        <v>9</v>
      </c>
      <c r="K107" t="s">
        <v>1022</v>
      </c>
      <c r="L107" t="s">
        <v>361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78</v>
      </c>
      <c r="Q107" t="s">
        <v>78</v>
      </c>
      <c r="R107" t="s">
        <v>78</v>
      </c>
      <c r="S107" t="s">
        <v>78</v>
      </c>
      <c r="T107" t="s">
        <v>433</v>
      </c>
    </row>
    <row r="108" spans="1:20">
      <c r="A108" t="s">
        <v>1025</v>
      </c>
      <c r="B108" t="s">
        <v>1026</v>
      </c>
      <c r="C108" t="s">
        <v>100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223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227</v>
      </c>
    </row>
    <row r="109" spans="1:20">
      <c r="A109" t="s">
        <v>1032</v>
      </c>
      <c r="B109" t="s">
        <v>1033</v>
      </c>
      <c r="C109" t="s">
        <v>293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245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87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1047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78</v>
      </c>
      <c r="J111" t="s">
        <v>9</v>
      </c>
      <c r="K111" t="s">
        <v>211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53</v>
      </c>
    </row>
    <row r="112" spans="1:20">
      <c r="A112" t="s">
        <v>1058</v>
      </c>
      <c r="B112" t="s">
        <v>1059</v>
      </c>
      <c r="C112" t="s">
        <v>217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78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87</v>
      </c>
    </row>
    <row r="113" spans="1:20">
      <c r="A113" t="s">
        <v>1065</v>
      </c>
      <c r="B113" t="s">
        <v>1066</v>
      </c>
      <c r="C113" t="s">
        <v>217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78</v>
      </c>
      <c r="J113" t="s">
        <v>9</v>
      </c>
      <c r="K113" t="s">
        <v>750</v>
      </c>
      <c r="L113" t="s">
        <v>95</v>
      </c>
      <c r="M113" t="s">
        <v>413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53</v>
      </c>
    </row>
    <row r="114" spans="1:20">
      <c r="A114" t="s">
        <v>1072</v>
      </c>
      <c r="B114" t="s">
        <v>1073</v>
      </c>
      <c r="C114" t="s">
        <v>100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616</v>
      </c>
      <c r="L114" t="s">
        <v>288</v>
      </c>
      <c r="M114" t="s">
        <v>331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87</v>
      </c>
    </row>
    <row r="115" spans="1:20">
      <c r="A115" t="s">
        <v>1080</v>
      </c>
      <c r="B115" t="s">
        <v>1081</v>
      </c>
      <c r="C115" t="s">
        <v>304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321</v>
      </c>
      <c r="N116" t="s">
        <v>322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433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605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87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78</v>
      </c>
      <c r="J120" t="s">
        <v>48</v>
      </c>
      <c r="K120" t="s">
        <v>741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53</v>
      </c>
    </row>
    <row r="121" spans="1:20">
      <c r="A121" t="s">
        <v>1132</v>
      </c>
      <c r="B121" t="s">
        <v>1133</v>
      </c>
      <c r="C121" t="s">
        <v>100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73</v>
      </c>
      <c r="J121" t="s">
        <v>48</v>
      </c>
      <c r="K121" t="s">
        <v>616</v>
      </c>
      <c r="L121" t="s">
        <v>361</v>
      </c>
      <c r="M121" t="s">
        <v>362</v>
      </c>
      <c r="N121" t="s">
        <v>363</v>
      </c>
      <c r="O121" s="3">
        <f>HYPERLINK(".\.\export_data\inspection_reports\80553_slough", ".\export_data\inspection_reports\80553_slough")</f>
        <v>0</v>
      </c>
      <c r="P121" t="s">
        <v>189</v>
      </c>
      <c r="Q121" t="s">
        <v>189</v>
      </c>
      <c r="R121" t="s">
        <v>189</v>
      </c>
      <c r="S121" t="s">
        <v>189</v>
      </c>
      <c r="T121" t="s">
        <v>87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1022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433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73</v>
      </c>
      <c r="J123" t="s">
        <v>9</v>
      </c>
      <c r="K123" t="s">
        <v>200</v>
      </c>
      <c r="L123" t="s">
        <v>606</v>
      </c>
      <c r="M123" t="s">
        <v>607</v>
      </c>
      <c r="N123" t="s">
        <v>608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53</v>
      </c>
    </row>
    <row r="124" spans="1:20">
      <c r="A124" t="s">
        <v>1153</v>
      </c>
      <c r="B124" t="s">
        <v>1154</v>
      </c>
      <c r="C124" t="s">
        <v>18</v>
      </c>
      <c r="D124" t="s">
        <v>1155</v>
      </c>
      <c r="E124" t="s">
        <v>1156</v>
      </c>
      <c r="F124" t="s">
        <v>1157</v>
      </c>
      <c r="G124" t="s">
        <v>1158</v>
      </c>
      <c r="H124" s="2" t="s">
        <v>1159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1160</v>
      </c>
      <c r="B125" t="s">
        <v>1161</v>
      </c>
      <c r="C125" t="s">
        <v>293</v>
      </c>
      <c r="D125" t="s">
        <v>1162</v>
      </c>
      <c r="E125" t="s">
        <v>1163</v>
      </c>
      <c r="F125" t="s">
        <v>1164</v>
      </c>
      <c r="G125" t="s">
        <v>1165</v>
      </c>
      <c r="H125" s="2" t="s">
        <v>1166</v>
      </c>
      <c r="I125" t="s">
        <v>73</v>
      </c>
      <c r="J125" t="s">
        <v>48</v>
      </c>
      <c r="K125" t="s">
        <v>62</v>
      </c>
      <c r="L125" t="s">
        <v>1167</v>
      </c>
      <c r="M125" t="s">
        <v>1168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8</v>
      </c>
      <c r="Q125" t="s">
        <v>8</v>
      </c>
      <c r="R125" t="s">
        <v>8</v>
      </c>
      <c r="S125" t="s">
        <v>78</v>
      </c>
      <c r="T125" t="s">
        <v>53</v>
      </c>
    </row>
    <row r="126" spans="1:20">
      <c r="A126" t="s">
        <v>1170</v>
      </c>
      <c r="B126" t="s">
        <v>1171</v>
      </c>
      <c r="C126" t="s">
        <v>100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390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394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74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28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1001</v>
      </c>
      <c r="L128" t="s">
        <v>580</v>
      </c>
      <c r="M128" t="s">
        <v>581</v>
      </c>
      <c r="N128" t="s">
        <v>582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433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200</v>
      </c>
      <c r="L129" t="s">
        <v>1097</v>
      </c>
      <c r="M129" t="s">
        <v>321</v>
      </c>
      <c r="N129" t="s">
        <v>322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429</v>
      </c>
      <c r="L130" t="s">
        <v>886</v>
      </c>
      <c r="M130" t="s">
        <v>311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433</v>
      </c>
    </row>
    <row r="131" spans="1:20">
      <c r="A131" t="s">
        <v>1209</v>
      </c>
      <c r="B131" t="s">
        <v>1210</v>
      </c>
      <c r="C131" t="s">
        <v>293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886</v>
      </c>
      <c r="M132" t="s">
        <v>311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179</v>
      </c>
      <c r="L133" t="s">
        <v>660</v>
      </c>
      <c r="M133" t="s">
        <v>661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293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78</v>
      </c>
      <c r="J134" t="s">
        <v>9</v>
      </c>
      <c r="K134" t="s">
        <v>379</v>
      </c>
      <c r="L134" t="s">
        <v>140</v>
      </c>
      <c r="M134" t="s">
        <v>342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1243</v>
      </c>
      <c r="B135" t="s">
        <v>1244</v>
      </c>
      <c r="C135" t="s">
        <v>100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351</v>
      </c>
      <c r="M135" t="s">
        <v>236</v>
      </c>
      <c r="N135" t="s">
        <v>353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189</v>
      </c>
      <c r="J136" t="s">
        <v>48</v>
      </c>
      <c r="K136" t="s">
        <v>139</v>
      </c>
      <c r="L136" t="s">
        <v>858</v>
      </c>
      <c r="M136" t="s">
        <v>859</v>
      </c>
      <c r="N136" t="s">
        <v>860</v>
      </c>
      <c r="O136" s="3">
        <f>HYPERLINK(".\.\export_data\inspection_reports\80568_swindon", ".\export_data\inspection_reports\80568_swindon")</f>
        <v>0</v>
      </c>
      <c r="P136" t="s">
        <v>189</v>
      </c>
      <c r="Q136" t="s">
        <v>189</v>
      </c>
      <c r="R136" t="s">
        <v>189</v>
      </c>
      <c r="S136" t="s">
        <v>14</v>
      </c>
      <c r="T136" t="s">
        <v>87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189</v>
      </c>
      <c r="J137" t="s">
        <v>48</v>
      </c>
      <c r="K137" t="s">
        <v>117</v>
      </c>
      <c r="L137" t="s">
        <v>751</v>
      </c>
      <c r="M137" t="s">
        <v>392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189</v>
      </c>
      <c r="Q137" t="s">
        <v>189</v>
      </c>
      <c r="R137" t="s">
        <v>189</v>
      </c>
      <c r="S137" t="s">
        <v>14</v>
      </c>
      <c r="T137" t="s">
        <v>333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78</v>
      </c>
      <c r="J138" t="s">
        <v>9</v>
      </c>
      <c r="K138" t="s">
        <v>179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78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87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487</v>
      </c>
      <c r="L140" t="s">
        <v>212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433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73</v>
      </c>
      <c r="J141" t="s">
        <v>48</v>
      </c>
      <c r="K141" t="s">
        <v>1297</v>
      </c>
      <c r="L141" t="s">
        <v>75</v>
      </c>
      <c r="M141" t="s">
        <v>76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189</v>
      </c>
      <c r="Q141" t="s">
        <v>189</v>
      </c>
      <c r="R141" t="s">
        <v>8</v>
      </c>
      <c r="S141" t="s">
        <v>14</v>
      </c>
      <c r="T141" t="s">
        <v>120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78</v>
      </c>
      <c r="J142" t="s">
        <v>9</v>
      </c>
      <c r="K142" t="s">
        <v>139</v>
      </c>
      <c r="L142" t="s">
        <v>886</v>
      </c>
      <c r="M142" t="s">
        <v>887</v>
      </c>
      <c r="N142" t="s">
        <v>312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87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87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333</v>
      </c>
    </row>
    <row r="145" spans="1:20">
      <c r="A145" t="s">
        <v>1324</v>
      </c>
      <c r="B145" t="s">
        <v>1325</v>
      </c>
      <c r="C145" t="s">
        <v>100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896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433</v>
      </c>
    </row>
    <row r="146" spans="1:20">
      <c r="A146" t="s">
        <v>1334</v>
      </c>
      <c r="B146" t="s">
        <v>1335</v>
      </c>
      <c r="C146" t="s">
        <v>304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73</v>
      </c>
      <c r="J146" t="s">
        <v>48</v>
      </c>
      <c r="K146" t="s">
        <v>150</v>
      </c>
      <c r="L146" t="s">
        <v>526</v>
      </c>
      <c r="M146" t="s">
        <v>527</v>
      </c>
      <c r="N146" t="s">
        <v>572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53</v>
      </c>
    </row>
    <row r="147" spans="1:20">
      <c r="A147" t="s">
        <v>1341</v>
      </c>
      <c r="B147" t="s">
        <v>1342</v>
      </c>
      <c r="C147" t="s">
        <v>100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933</v>
      </c>
      <c r="M147" t="s">
        <v>934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283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433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741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53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78</v>
      </c>
      <c r="J150" t="s">
        <v>9</v>
      </c>
      <c r="K150" t="s">
        <v>402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190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53</v>
      </c>
    </row>
    <row r="152" spans="1:20">
      <c r="A152" t="s">
        <v>1384</v>
      </c>
      <c r="B152" t="s">
        <v>1385</v>
      </c>
      <c r="C152" t="s">
        <v>100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390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394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200</v>
      </c>
      <c r="L153" t="s">
        <v>1398</v>
      </c>
      <c r="M153" t="s">
        <v>839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53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179</v>
      </c>
      <c r="L154" t="s">
        <v>1407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2026-10-26T05:16:06Z</dcterms:created>
  <dcterms:modified xsi:type="dcterms:W3CDTF">2026-10-26T05:16:06Z</dcterms:modified>
</cp:coreProperties>
</file>
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<sst xmlns="http://schemas.openxmlformats.org/spreadsheetml/2006/main" count="2921" uniqueCount="1424">
  <si>
    <t>80426</t>
  </si>
  <si>
    <t>370</t>
  </si>
  <si>
    <t>YH</t>
  </si>
  <si>
    <t>E08000016</t>
  </si>
  <si>
    <t>372, 384, 357, 371, 332, 894, 840, 390, 807, 394</t>
  </si>
  <si>
    <t>[(372, 'good'), (384, 'good'), (357, 'inadequate'), (371, 'good'), (332, 'requires improvement'), (894, 'outstanding'), (840, 'outstanding'), (390, 'good'), (807, 'requires improvement'),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</si>
  <si>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</si>
  <si>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</si>
  <si>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</si>
  <si>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</si>
  <si>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</si>
  <si>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</si>
  <si>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</si>
  <si>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</si>
  <si>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</si>
  <si>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</si>
  <si>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</si>
  <si>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</si>
  <si>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</si>
  <si>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</si>
  <si>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</si>
  <si>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</si>
  <si>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</si>
  <si>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</si>
  <si>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</si>
  <si>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</si>
  <si>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</si>
  <si>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</si>
  <si>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8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</si>
  <si>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</si>
  <si>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</si>
  <si>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</si>
  <si>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</si>
  <si>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</si>
  <si>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</si>
  <si>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</si>
  <si>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</si>
  <si>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</si>
  <si>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</si>
  <si>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</si>
  <si>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</si>
  <si>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</si>
  <si>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</si>
  <si>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</si>
  <si>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</si>
  <si>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'good'),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</si>
  <si>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</si>
  <si>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</si>
  <si>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</si>
  <si>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</si>
  <si>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</si>
  <si>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</si>
  <si>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</si>
  <si>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</si>
  <si>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</si>
  <si>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</si>
  <si>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</si>
  <si>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</si>
  <si>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</si>
  <si>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</si>
  <si>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</si>
  <si>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</si>
  <si>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</si>
  <si>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</si>
  <si>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</si>
  <si>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</si>
  <si>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</si>
  <si>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</si>
  <si>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</si>
  <si>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</si>
  <si>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</si>
  <si>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'requires improvement'),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</si>
  <si>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</si>
  <si>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</si>
  <si>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</si>
  <si>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</si>
  <si>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</si>
  <si>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</si>
  <si>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</si>
  <si>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</si>
  <si>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</si>
  <si>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</si>
  <si>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</si>
  <si>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</si>
  <si>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</si>
  <si>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</si>
  <si>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</si>
  <si>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</si>
  <si>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</si>
  <si>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</si>
  <si>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</si>
  <si>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</si>
  <si>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</si>
  <si>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</si>
  <si>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</si>
  <si>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</si>
  <si>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</si>
  <si>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</si>
  <si>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</si>
  <si>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</si>
  <si>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</si>
  <si>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</si>
  <si>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</si>
  <si>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</si>
  <si>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</si>
  <si>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https://files.ofsted.gov.uk/v1/file/50189673</t>
  </si>
  <si>
    <t>outstanding</t>
  </si>
  <si>
    <t>13/06/2022</t>
  </si>
  <si>
    <t>17/06/2022</t>
  </si>
  <si>
    <t>29/07/22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</si>
  <si>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</si>
  <si>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</si>
  <si>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</si>
  <si>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</si>
  <si>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</si>
  <si>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</si>
  <si>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</si>
  <si>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</si>
  <si>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</si>
  <si>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</si>
  <si>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</si>
  <si>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</si>
  <si>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</si>
  <si>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</si>
  <si>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</si>
  <si>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</si>
  <si>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</si>
  <si>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</si>
  <si>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</si>
  <si>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</si>
  <si>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</si>
  <si>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</si>
  <si>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4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</si>
  <si>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</si>
  <si>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</si>
  <si>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</si>
  <si>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</si>
  <si>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</si>
  <si>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</si>
  <si>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</si>
  <si>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</si>
  <si>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</si>
  <si>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</si>
  <si>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</si>
  <si>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</si>
  <si>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</si>
  <si>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</si>
  <si>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</si>
  <si>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</si>
  <si>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</si>
  <si>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</si>
  <si>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</si>
  <si>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</si>
  <si>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</si>
  <si>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</si>
  <si>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</si>
  <si>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</si>
  <si>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</si>
  <si>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</si>
  <si>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</si>
  <si>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</si>
  <si>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naintara khosla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</si>
  <si>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</si>
  <si>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</si>
  <si>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</si>
  <si>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</si>
  <si>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</si>
  <si>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</si>
  <si>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</si>
  <si>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</si>
  <si>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</si>
  <si>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</si>
  <si>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</si>
  <si>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</si>
  <si>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</si>
  <si>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</si>
  <si>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</si>
  <si>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</si>
  <si>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</si>
  <si>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</si>
  <si>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</si>
  <si>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</si>
  <si>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</si>
  <si>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</si>
  <si>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</si>
  <si>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</si>
  <si>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</si>
  <si>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</si>
  <si>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</si>
  <si>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</si>
  <si>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</si>
  <si>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</si>
  <si>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</si>
  <si>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</si>
  <si>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</si>
  <si>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</si>
  <si>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</si>
  <si>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</si>
  <si>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</si>
  <si>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'inadequate'),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</si>
  <si>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</si>
  <si>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</si>
  <si>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</si>
  <si>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</si>
  <si>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</si>
  <si>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</si>
  <si>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</si>
  <si>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</si>
  <si>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</si>
  <si>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</si>
  <si>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'requires improvement'),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</si>
  <si>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</si>
  <si>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</si>
  <si>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</si>
  <si>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</si>
  <si>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</si>
  <si>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</si>
  <si>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</si>
  <si>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</si>
  <si>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</si>
  <si>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</si>
  <si>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</si>
  <si>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</si>
  <si>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</si>
  <si>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</si>
  <si>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</si>
  <si>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</si>
  <si>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</si>
  <si>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</si>
  <si>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</si>
  <si>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</si>
  <si>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</si>
  <si>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</si>
  <si>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</si>
  <si>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'good'),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</si>
  <si>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</si>
  <si>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</si>
  <si>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</si>
  <si>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</si>
  <si>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</si>
  <si>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</si>
  <si>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</si>
  <si>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</si>
  <si>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</si>
  <si>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</si>
  <si>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</si>
  <si>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</si>
  <si>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</si>
  <si>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</si>
  <si>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</si>
  <si>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</si>
  <si>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</si>
  <si>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</si>
  <si>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</si>
  <si>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</si>
  <si>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</si>
  <si>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</si>
  <si>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</si>
  <si>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</si>
  <si>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</si>
  <si>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</si>
  <si>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</si>
  <si>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</si>
  <si>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</si>
  <si>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</si>
  <si>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</si>
  <si>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</si>
  <si>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</si>
  <si>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</si>
  <si>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</si>
  <si>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</si>
  <si>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</si>
  <si>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</si>
  <si>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</si>
  <si>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</si>
  <si>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</si>
  <si>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</si>
  <si>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</si>
  <si>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</si>
  <si>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</si>
  <si>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</si>
  <si>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</si>
  <si>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</si>
  <si>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</si>
  <si>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</si>
  <si>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</si>
  <si>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'inadequate'),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</si>
  <si>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</si>
  <si>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</si>
  <si>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</si>
  <si>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</si>
  <si>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</si>
  <si>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</si>
  <si>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</si>
  <si>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</si>
  <si>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</si>
  <si>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</si>
  <si>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'good'),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</si>
  <si>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</si>
  <si>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</si>
  <si>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</si>
  <si>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</si>
  <si>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</si>
  <si>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</si>
  <si>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</si>
  <si>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</si>
  <si>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</si>
  <si>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</si>
  <si>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</si>
  <si>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</si>
  <si>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</si>
  <si>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</si>
  <si>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</si>
  <si>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</si>
  <si>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</si>
  <si>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</si>
  <si>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</si>
  <si>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</si>
  <si>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</si>
  <si>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</si>
  <si>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</si>
  <si>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</si>
  <si>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</si>
  <si>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</si>
  <si>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</si>
  <si>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</si>
  <si>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</si>
  <si>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</si>
  <si>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</si>
  <si>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</si>
  <si>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</si>
  <si>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</si>
  <si>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</si>
  <si>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</si>
  <si>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</si>
  <si>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</si>
  <si>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</si>
  <si>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</si>
  <si>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</si>
  <si>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</si>
  <si>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</si>
  <si>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'good'),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</si>
  <si>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</si>
  <si>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</si>
  <si>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</si>
  <si>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</si>
  <si>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</si>
  <si>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</si>
  <si>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</si>
  <si>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</si>
  <si>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</si>
  <si>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</si>
  <si>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</si>
  <si>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</si>
  <si>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</si>
  <si>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</si>
  <si>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</si>
  <si>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</si>
  <si>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</si>
  <si>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</si>
  <si>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</si>
  <si>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</si>
  <si>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'good'),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</si>
  <si>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</si>
  <si>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</si>
  <si>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</si>
  <si>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</si>
  <si>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</si>
  <si>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</si>
  <si>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</si>
  <si>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</si>
  <si>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</si>
  <si>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'requires improvement'), (372, 'good'),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</si>
  <si>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</si>
  <si>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</si>
  <si>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</si>
  <si>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</si>
  <si>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</si>
  <si>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</si>
  <si>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</si>
  <si>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'inadequate'),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</si>
  <si>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</si>
  <si>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</si>
  <si>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</si>
  <si>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</si>
  <si>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</si>
  <si>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</si>
  <si>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</si>
  <si>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</si>
  <si>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</si>
  <si>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</si>
  <si>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</si>
  <si>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</si>
  <si>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</si>
  <si>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</si>
  <si>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</si>
  <si>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</si>
  <si>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</si>
  <si>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</si>
  <si>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</si>
  <si>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</si>
  <si>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</si>
  <si>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</si>
  <si>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</si>
  <si>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</si>
  <si>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</si>
  <si>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</si>
  <si>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</si>
  <si>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</si>
  <si>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</si>
  <si>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</si>
  <si>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</si>
  <si>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</si>
  <si>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'good'), (808, 'requires improvement'), (840, 'outstanding'), (807, 'requires improvement'),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</si>
  <si>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</si>
  <si>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</si>
  <si>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</si>
  <si>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</si>
  <si>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</si>
  <si>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</si>
  <si>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</si>
  <si>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</si>
  <si>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</si>
  <si>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</si>
  <si>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</si>
  <si>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</si>
  <si>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</si>
  <si>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</si>
  <si>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</si>
  <si>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</si>
  <si>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'requires improvement'), (370, 'good'), (390, 'good'), (372, 'good'),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</si>
  <si>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</si>
  <si>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</si>
  <si>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</si>
  <si>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</si>
  <si>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</si>
  <si>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</si>
  <si>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</si>
  <si>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</si>
  <si>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</si>
  <si>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</si>
  <si>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</si>
  <si>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</si>
  <si>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</si>
  <si>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</si>
  <si>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</si>
  <si>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</si>
  <si>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</si>
  <si>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</si>
  <si>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</si>
  <si>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'requires improvement'), (394, 'outstanding'), (393, 'inadequate'), (890, 'requires improvement'), (806, 'requires improvement'), (390, 'good'), (840, 'outstanding'), (876, 'inadequate'), (372, 'good'),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</si>
  <si>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</si>
  <si>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</si>
  <si>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</si>
  <si>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</si>
  <si>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</si>
  <si>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</si>
  <si>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</si>
  <si>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</si>
  <si>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</si>
  <si>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</si>
  <si>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https://files.ofsted.gov.uk/v1/file/50192875</t>
  </si>
  <si>
    <t>18/07/2022</t>
  </si>
  <si>
    <t>29/07/2022</t>
  </si>
  <si>
    <t>21/09/22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</si>
  <si>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</si>
  <si>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</si>
  <si>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</si>
  <si>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</si>
  <si>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</si>
  <si>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</si>
  <si>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</si>
  <si>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</si>
  <si>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</si>
  <si>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</si>
  <si>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</si>
  <si>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</si>
  <si>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'good'),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</si>
  <si>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</si>
  <si>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</si>
  <si>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</si>
  <si>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</si>
  <si>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</si>
  <si>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</si>
  <si>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</si>
  <si>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</si>
  <si>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</si>
  <si>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</si>
  <si>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</si>
  <si>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</si>
  <si>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</si>
  <si>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</si>
  <si>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</si>
  <si>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</si>
  <si>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</si>
  <si>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</si>
  <si>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'requires improvement'), (336, 'good'), (861, 'requires improvement'), (335, 'outstanding'), (812, 'good'), (354, 'requires improvement'), (806, 'requires improvement'), (371, 'good'), (831, 'outstanding'), (372, 'good')]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</si>
  <si>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</si>
  <si>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</si>
  <si>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</si>
  <si>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</si>
  <si>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</si>
  <si>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</si>
  <si>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</si>
  <si>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</si>
  <si>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</si>
  <si>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</si>
  <si>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</si>
  <si>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</si>
  <si>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</si>
  <si>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</si>
  <si>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</si>
  <si>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</si>
  <si>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</si>
  <si>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</si>
  <si>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'requires improvement'),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</si>
  <si>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</si>
  <si>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</si>
  <si>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</si>
  <si>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</si>
  <si>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</si>
  <si>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</si>
  <si>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</si>
  <si>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</si>
  <si>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</si>
  <si>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</si>
  <si>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'inadequate'), (841, 'good'), (808, 'requires improvement'), (384, 'good'), (891, 'good'), (929, 'outstanding'), (359, 'requires improvement')]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</si>
  <si>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</si>
  <si>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</si>
  <si>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</si>
  <si>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</si>
  <si>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</si>
  <si>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</si>
  <si>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</si>
  <si>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</si>
  <si>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</si>
  <si>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</si>
  <si>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</si>
  <si>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</si>
  <si>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</si>
  <si>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</si>
  <si>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</si>
  <si>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</si>
  <si>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</si>
  <si>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</si>
  <si>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</si>
  <si>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'good'), (333, 'requires improvement'),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</si>
  <si>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</si>
  <si>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</si>
  <si>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</si>
  <si>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</si>
  <si>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</si>
  <si>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</si>
  <si>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</si>
  <si>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</si>
  <si>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</si>
  <si>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</si>
  <si>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</si>
  <si>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</si>
  <si>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</si>
  <si>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</si>
  <si>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</si>
  <si>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'inadequate'),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</si>
  <si>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</si>
  <si>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</si>
  <si>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</si>
  <si>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</si>
  <si>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</si>
  <si>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</si>
  <si>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</si>
  <si>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</si>
  <si>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</si>
  <si>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'requires improvement'),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</si>
  <si>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</si>
  <si>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</si>
  <si>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</si>
  <si>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</si>
  <si>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</si>
  <si>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</si>
  <si>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</si>
  <si>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</si>
  <si>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</si>
  <si>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'requires improvement'),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</si>
  <si>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</si>
  <si>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</si>
  <si>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</si>
  <si>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</si>
  <si>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</si>
  <si>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</si>
  <si>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</si>
  <si>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</si>
  <si>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</si>
  <si>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</si>
  <si>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</si>
  <si>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</si>
  <si>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</si>
  <si>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</si>
  <si>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</si>
  <si>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</si>
  <si>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</si>
  <si>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</si>
  <si>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</si>
  <si>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</si>
  <si>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</si>
  <si>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</si>
  <si>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</si>
  <si>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</si>
  <si>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'good'),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</si>
  <si>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</si>
  <si>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</si>
  <si>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</si>
  <si>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</si>
  <si>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</si>
  <si>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</si>
  <si>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</si>
  <si>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</si>
  <si>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'inadequate'),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</si>
  <si>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</si>
  <si>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</si>
  <si>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</si>
  <si>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</si>
  <si>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</si>
  <si>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</si>
  <si>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</si>
  <si>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</si>
  <si>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</si>
  <si>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</si>
  <si>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</si>
  <si>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</si>
  <si>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</si>
  <si>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</si>
  <si>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</si>
  <si>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</si>
  <si>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</si>
  <si>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</si>
  <si>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</si>
  <si>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</si>
  <si>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</si>
  <si>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</si>
  <si>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</si>
  <si>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</si>
  <si>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</si>
  <si>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</si>
  <si>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</si>
  <si>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</si>
  <si>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</si>
  <si>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</si>
  <si>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</si>
  <si>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</si>
  <si>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</si>
  <si>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'good'),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</si>
  <si>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</si>
  <si>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</si>
  <si>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</si>
  <si>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</si>
  <si>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</si>
  <si>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</si>
  <si>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</si>
  <si>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</si>
  <si>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</si>
  <si>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</si>
  <si>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</si>
  <si>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</si>
  <si>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</si>
  <si>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</si>
  <si>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</si>
  <si>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</si>
  <si>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</si>
  <si>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</si>
  <si>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</si>
  <si>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'good'),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</si>
  <si>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</si>
  <si>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</si>
  <si>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</si>
  <si>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</si>
  <si>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</si>
  <si>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</si>
  <si>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</si>
  <si>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</si>
  <si>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</si>
  <si>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</si>
  <si>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</si>
  <si>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</si>
  <si>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</si>
  <si>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</si>
  <si>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</si>
  <si>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</si>
  <si>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</si>
  <si>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</si>
  <si>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</si>
  <si>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</si>
  <si>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</si>
  <si>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</si>
  <si>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</si>
  <si>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</si>
  <si>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</si>
  <si>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</si>
  <si>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</si>
  <si>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</si>
  <si>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</si>
  <si>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</si>
  <si>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</si>
  <si>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</si>
  <si>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</si>
  <si>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</si>
  <si>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</si>
  <si>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</si>
  <si>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</si>
  <si>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</si>
  <si>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</si>
  <si>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</si>
  <si>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</si>
  <si>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</si>
  <si>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</si>
  <si>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</si>
  <si>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</si>
  <si>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</si>
  <si>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</si>
  <si>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</si>
  <si>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</si>
  <si>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</si>
  <si>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</si>
  <si>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</si>
  <si>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</si>
  <si>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</si>
  <si>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</si>
  <si>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</si>
  <si>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</si>
  <si>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</si>
  <si>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</si>
  <si>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</si>
  <si>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</si>
  <si>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</si>
  <si>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'good')]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</si>
  <si>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</si>
  <si>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</si>
  <si>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</si>
  <si>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</si>
  <si>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</si>
  <si>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</si>
  <si>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</si>
  <si>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</si>
  <si>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</si>
  <si>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</si>
  <si>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</si>
  <si>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</si>
  <si>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</si>
  <si>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</si>
  <si>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</si>
  <si>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</si>
  <si>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</si>
  <si>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</si>
  <si>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</si>
  <si>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</si>
  <si>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</si>
  <si>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</si>
  <si>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</si>
  <si>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</si>
  <si>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</si>
  <si>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</si>
  <si>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</si>
  <si>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</si>
  <si>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</si>
  <si>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</si>
  <si>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</si>
  <si>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</si>
  <si>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</si>
  <si>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</si>
  <si>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'good'), (871, 'requires improvement')]</t>
  </si>
  <si>
    <t>newham</t>
  </si>
  <si>
    <t>https://files.ofsted.gov.uk/v1/file/50192878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</si>
  <si>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</si>
  <si>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</si>
  <si>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</si>
  <si>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</si>
  <si>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</si>
  <si>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</si>
  <si>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</si>
  <si>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</si>
  <si>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</si>
  <si>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</si>
  <si>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</si>
  <si>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</si>
  <si>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</si>
  <si>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</si>
  <si>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</si>
  <si>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</si>
  <si>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</si>
  <si>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</si>
  <si>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</si>
  <si>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</si>
  <si>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</si>
  <si>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</si>
  <si>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</si>
  <si>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</si>
  <si>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</si>
  <si>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</si>
  <si>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</si>
  <si>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</si>
  <si>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</si>
  <si>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</si>
  <si>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</si>
  <si>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</si>
  <si>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</si>
  <si>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</si>
  <si>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</si>
  <si>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</si>
  <si>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</si>
  <si>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'good'), (352, 'good'),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</si>
  <si>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</si>
  <si>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</si>
  <si>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</si>
  <si>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</si>
  <si>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</si>
  <si>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</si>
  <si>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</si>
  <si>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</si>
  <si>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</si>
  <si>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</si>
  <si>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</si>
  <si>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</si>
  <si>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</si>
  <si>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</si>
  <si>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</si>
  <si>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</si>
  <si>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</si>
  <si>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</si>
  <si>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</si>
  <si>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</si>
  <si>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</si>
  <si>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</si>
  <si>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</si>
  <si>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</si>
  <si>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</si>
  <si>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</si>
  <si>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'good'),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</si>
  <si>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</si>
  <si>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</si>
  <si>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</si>
  <si>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</si>
  <si>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</si>
  <si>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</si>
  <si>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'requires improvement'),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</si>
  <si>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</si>
  <si>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</si>
  <si>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</si>
  <si>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</si>
  <si>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</si>
  <si>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</si>
  <si>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</si>
  <si>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</si>
  <si>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</si>
  <si>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</si>
  <si>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</si>
  <si>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https://files.ofsted.gov.uk/v1/file/50183843</t>
  </si>
  <si>
    <t>mandy nightingale</t>
  </si>
  <si>
    <t>21/03/2022</t>
  </si>
  <si>
    <t>01/04/2022</t>
  </si>
  <si>
    <t>19/05/22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</si>
  <si>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</si>
  <si>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</si>
  <si>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</si>
  <si>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</si>
  <si>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</si>
  <si>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</si>
  <si>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</si>
  <si>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</si>
  <si>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</si>
  <si>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</si>
  <si>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</si>
  <si>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</si>
  <si>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</si>
  <si>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</si>
  <si>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</si>
  <si>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</si>
  <si>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</si>
  <si>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</si>
  <si>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</si>
  <si>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</si>
  <si>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</si>
  <si>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</si>
  <si>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</si>
  <si>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</si>
  <si>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</si>
  <si>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</si>
  <si>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</si>
  <si>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</si>
  <si>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</si>
  <si>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</si>
  <si>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</si>
  <si>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</si>
  <si>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'good'),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</si>
  <si>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</si>
  <si>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</si>
  <si>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</si>
  <si>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</si>
  <si>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</si>
  <si>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</si>
  <si>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</si>
  <si>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</si>
  <si>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</si>
  <si>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</si>
  <si>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</si>
  <si>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</si>
  <si>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</si>
  <si>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</si>
  <si>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</si>
  <si>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</si>
  <si>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'good'), (894, 'outstanding'), (335, 'outstanding'), (384, 'good'), (841, 'good'), (370, 'good'), (807, 'requires improvement'),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</si>
  <si>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</si>
  <si>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</si>
  <si>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</si>
  <si>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</si>
  <si>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</si>
  <si>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</si>
  <si>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</si>
  <si>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</si>
  <si>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'good'),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</si>
  <si>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</si>
  <si>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</si>
  <si>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</si>
  <si>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</si>
  <si>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</si>
  <si>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</si>
  <si>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</si>
  <si>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</si>
  <si>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</si>
  <si>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</si>
  <si>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</si>
  <si>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</si>
  <si>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</si>
  <si>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</si>
  <si>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</si>
  <si>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</si>
  <si>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</si>
  <si>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</si>
  <si>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</si>
  <si>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</si>
  <si>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</si>
  <si>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</si>
  <si>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</si>
  <si>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</si>
  <si>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</si>
  <si>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'inadequate'),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</si>
  <si>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</si>
  <si>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</si>
  <si>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</si>
  <si>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</si>
  <si>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</si>
  <si>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</si>
  <si>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'inadequate'),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</si>
  <si>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</si>
  <si>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</si>
  <si>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</si>
  <si>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</si>
  <si>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</si>
  <si>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</si>
  <si>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</si>
  <si>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</si>
  <si>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</si>
  <si>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</si>
  <si>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</si>
  <si>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</si>
  <si>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</si>
  <si>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</si>
  <si>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</si>
  <si>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</si>
  <si>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</si>
  <si>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</si>
  <si>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'good'), (391, 'good'), (806, 'requires improvement'), (380, 'inadequate'), (333, 'requires improvement'),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</si>
  <si>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</si>
  <si>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</si>
  <si>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</si>
  <si>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</si>
  <si>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</si>
  <si>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</si>
  <si>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</si>
  <si>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</si>
  <si>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</si>
  <si>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</si>
  <si>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</si>
  <si>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</si>
  <si>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</si>
  <si>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'requires improvement')]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</si>
  <si>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</si>
  <si>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</si>
  <si>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</si>
  <si>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</si>
  <si>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</si>
  <si>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</si>
  <si>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</si>
  <si>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</si>
  <si>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</si>
  <si>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</si>
  <si>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</si>
  <si>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</si>
  <si>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</si>
  <si>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</si>
  <si>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</si>
  <si>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</si>
  <si>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</si>
  <si>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</si>
  <si>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</si>
  <si>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</si>
  <si>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</si>
  <si>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</si>
  <si>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</si>
  <si>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</si>
  <si>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</si>
  <si>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'good'),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</si>
  <si>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</si>
  <si>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</si>
  <si>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</si>
  <si>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</si>
  <si>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</si>
  <si>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</si>
  <si>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</si>
  <si>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</si>
  <si>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</si>
  <si>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</si>
  <si>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</si>
  <si>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</si>
  <si>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</si>
  <si>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</si>
  <si>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</si>
  <si>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</si>
  <si>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</si>
  <si>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</si>
  <si>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</si>
  <si>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</si>
  <si>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</si>
  <si>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</si>
  <si>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</si>
  <si>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</si>
  <si>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</si>
  <si>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</si>
  <si>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'good'), (390, 'good'), (840, 'outstanding'), (370, 'good'), (357, 'inadequate'), (371, 'good'), (880, 'good')]</t>
  </si>
  <si>
    <t>redcar and cleveland</t>
  </si>
  <si>
    <t>https://files.ofsted.gov.uk/v1/file/50194303</t>
  </si>
  <si>
    <t>22/09/22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</si>
  <si>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</si>
  <si>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</si>
  <si>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</si>
  <si>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</si>
  <si>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'good'),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</si>
  <si>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</si>
  <si>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</si>
  <si>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</si>
  <si>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</si>
  <si>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</si>
  <si>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</si>
  <si>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</si>
  <si>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</si>
  <si>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'requires improvement'), (394, 'outstanding'), (390, 'good'), (840, 'outstanding')]</t>
  </si>
  <si>
    <t>rotherham</t>
  </si>
  <si>
    <t>https://files.ofsted.gov.uk/v1/file/50190644</t>
  </si>
  <si>
    <t>neil penswick</t>
  </si>
  <si>
    <t>27/06/2022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</si>
  <si>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</si>
  <si>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</si>
  <si>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</si>
  <si>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</si>
  <si>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</si>
  <si>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</si>
  <si>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</si>
  <si>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</si>
  <si>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</si>
  <si>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</si>
  <si>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</si>
  <si>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</si>
  <si>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</si>
  <si>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</si>
  <si>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</si>
  <si>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</si>
  <si>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</si>
  <si>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</si>
  <si>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</si>
  <si>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</si>
  <si>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</si>
  <si>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</si>
  <si>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</si>
  <si>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</si>
  <si>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</si>
  <si>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</si>
  <si>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</si>
  <si>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</si>
  <si>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</si>
  <si>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</si>
  <si>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</si>
  <si>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</si>
  <si>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</si>
  <si>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</si>
  <si>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</si>
  <si>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</si>
  <si>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</si>
  <si>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</si>
  <si>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</si>
  <si>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</si>
  <si>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</si>
  <si>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</si>
  <si>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</si>
  <si>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</si>
  <si>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</si>
  <si>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</si>
  <si>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https://files.ofsted.gov.uk/v1/file/50187562</t>
  </si>
  <si>
    <t>80550</t>
  </si>
  <si>
    <t>343</t>
  </si>
  <si>
    <t>E08000014</t>
  </si>
  <si>
    <t>344, 342, 359, 888, 876, 840, 808, 340, 841, 351</t>
  </si>
  <si>
    <t>[(344, 'requires improvement'), (342, 'good'), (359, 'requires improvement'),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</si>
  <si>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</si>
  <si>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</si>
  <si>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</si>
  <si>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</si>
  <si>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</si>
  <si>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</si>
  <si>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</si>
  <si>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</si>
  <si>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</si>
  <si>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</si>
  <si>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</si>
  <si>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</si>
  <si>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</si>
  <si>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</si>
  <si>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</si>
  <si>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</si>
  <si>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'inadequate'),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</si>
  <si>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</si>
  <si>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</si>
  <si>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</si>
  <si>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</si>
  <si>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</si>
  <si>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</si>
  <si>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</si>
  <si>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</si>
  <si>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</si>
  <si>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</si>
  <si>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</si>
  <si>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</si>
  <si>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</si>
  <si>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</si>
  <si>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</si>
  <si>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</si>
  <si>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https://files.ofsted.gov.uk/v1/file/50204405</t>
  </si>
  <si>
    <t>victoria horsefield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</si>
  <si>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</si>
  <si>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</si>
  <si>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</si>
  <si>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</si>
  <si>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</si>
  <si>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</si>
  <si>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</si>
  <si>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</si>
  <si>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</si>
  <si>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</si>
  <si>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</si>
  <si>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</si>
  <si>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</si>
  <si>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</si>
  <si>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</si>
  <si>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</si>
  <si>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</si>
  <si>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</si>
  <si>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'requires improvement'), (390, 'good'), (805, 'outstanding'), (840, 'outstanding'), (357, 'inadequate'), (372, 'good'),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</si>
  <si>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</si>
  <si>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</si>
  <si>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</si>
  <si>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</si>
  <si>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</si>
  <si>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</si>
  <si>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</si>
  <si>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</si>
  <si>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</si>
  <si>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</si>
  <si>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</si>
  <si>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</si>
  <si>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</si>
  <si>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</si>
  <si>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</si>
  <si>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</si>
  <si>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</si>
  <si>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</si>
  <si>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</si>
  <si>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</si>
  <si>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</si>
  <si>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</si>
  <si>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</si>
  <si>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</si>
  <si>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'requires improvement'),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</si>
  <si>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</si>
  <si>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</si>
  <si>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</si>
  <si>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</si>
  <si>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</si>
  <si>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</si>
  <si>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'inadequate'),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</si>
  <si>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</si>
  <si>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</si>
  <si>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</si>
  <si>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</si>
  <si>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</si>
  <si>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</si>
  <si>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'inadequate'),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</si>
  <si>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</si>
  <si>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</si>
  <si>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</si>
  <si>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</si>
  <si>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</si>
  <si>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</si>
  <si>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</si>
  <si>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'good'),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</si>
  <si>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</si>
  <si>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</si>
  <si>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</si>
  <si>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</si>
  <si>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</si>
  <si>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</si>
  <si>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</si>
  <si>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</si>
  <si>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</si>
  <si>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</si>
  <si>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'requires improvement'), (357, 'inadequate'), (831, 'outstanding'), (372, 'good')]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</si>
  <si>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</si>
  <si>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</si>
  <si>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</si>
  <si>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</si>
  <si>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</si>
  <si>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</si>
  <si>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</si>
  <si>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</si>
  <si>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</si>
  <si>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</si>
  <si>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</si>
  <si>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</si>
  <si>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</si>
  <si>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</si>
  <si>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'requires improvement'), (393, 'inadequate'), (805, 'outstanding'), (372, 'good'),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</si>
  <si>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</si>
  <si>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</si>
  <si>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</si>
  <si>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</si>
  <si>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</si>
  <si>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</si>
  <si>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</si>
  <si>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</si>
  <si>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</si>
  <si>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</si>
  <si>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</si>
  <si>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</si>
  <si>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</si>
  <si>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</si>
  <si>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</si>
  <si>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</si>
  <si>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</si>
  <si>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</si>
  <si>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</si>
  <si>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</si>
  <si>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</si>
  <si>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'good'),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</si>
  <si>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</si>
  <si>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</si>
  <si>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</si>
  <si>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</si>
  <si>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</si>
  <si>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</si>
  <si>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</si>
  <si>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'good'),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</si>
  <si>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</si>
  <si>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</si>
  <si>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</si>
  <si>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</si>
  <si>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</si>
  <si>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</si>
  <si>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</si>
  <si>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</si>
  <si>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</si>
  <si>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</si>
  <si>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</si>
  <si>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</si>
  <si>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</si>
  <si>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</si>
  <si>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</si>
  <si>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</si>
  <si>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</si>
  <si>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'good'), (807, 'requires improvement'), (921, 'good'), (370, 'good'), (390, 'good'), (354, 'requires improvement'), (894, 'outstanding')]</t>
  </si>
  <si>
    <t>torbay</t>
  </si>
  <si>
    <t>https://files.ofsted.gov.uk/v1/file/50183765</t>
  </si>
  <si>
    <t>andy whippey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</si>
  <si>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</si>
  <si>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</si>
  <si>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</si>
  <si>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</si>
  <si>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</si>
  <si>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'inadequate')]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</si>
  <si>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</si>
  <si>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</si>
  <si>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</si>
  <si>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</si>
  <si>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</si>
  <si>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</si>
  <si>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'good'), (812, 'good'), (333, 'requires improvement')]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</si>
  <si>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</si>
  <si>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</si>
  <si>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</si>
  <si>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</si>
  <si>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</si>
  <si>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</si>
  <si>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'inadequate'),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</si>
  <si>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</si>
  <si>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</si>
  <si>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</si>
  <si>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</si>
  <si>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</si>
  <si>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</si>
  <si>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</si>
  <si>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</si>
  <si>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</si>
  <si>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</si>
  <si>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</si>
  <si>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</si>
  <si>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</si>
  <si>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</si>
  <si>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</si>
  <si>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</si>
  <si>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</si>
  <si>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</si>
  <si>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</si>
  <si>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</si>
  <si>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</si>
  <si>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</si>
  <si>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</si>
  <si>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</si>
  <si>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</si>
  <si>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</si>
  <si>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</si>
  <si>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</si>
  <si>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</si>
  <si>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</si>
  <si>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</si>
  <si>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</si>
  <si>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</si>
  <si>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</si>
  <si>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</si>
  <si>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</si>
  <si>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</si>
  <si>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</si>
  <si>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</si>
  <si>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</si>
  <si>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</si>
  <si>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</si>
  <si>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'inadequate'),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</si>
  <si>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</si>
  <si>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</si>
  <si>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</si>
  <si>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</si>
  <si>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</si>
  <si>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</si>
  <si>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'inadequate'), (808, 'requires improvement'), (893, 'outstanding')]</t>
  </si>
  <si>
    <t>wigan</t>
  </si>
  <si>
    <t>https://files.ofsted.gov.uk/v1/file/50187563</t>
  </si>
  <si>
    <t>lorna schlechte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</si>
  <si>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</si>
  <si>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</si>
  <si>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</si>
  <si>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</si>
  <si>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</si>
  <si>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</si>
  <si>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</si>
  <si>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</si>
  <si>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</si>
  <si>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</si>
  <si>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</si>
  <si>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</si>
  <si>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</si>
  <si>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</si>
  <si>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'requires improvement'),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</si>
  <si>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</si>
  <si>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</si>
  <si>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</si>
  <si>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</si>
  <si>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</si>
  <si>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</si>
  <si>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</si>
  <si>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</si>
  <si>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</si>
  <si>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</si>
  <si>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</si>
  <si>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</si>
  <si>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</si>
  <si>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</si>
  <si>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</si>
  <si>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'requires improvement'),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</si>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</sst>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189673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192875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192878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183843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194303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190644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187562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04405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187563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1404</v>
      </c>
      <c r="B1" s="1" t="s">
        <v>1405</v>
      </c>
      <c r="C1" s="1" t="s">
        <v>1406</v>
      </c>
      <c r="D1" s="1" t="s">
        <v>1407</v>
      </c>
      <c r="E1" s="1" t="s">
        <v>1408</v>
      </c>
      <c r="F1" s="1" t="s">
        <v>1409</v>
      </c>
      <c r="G1" s="1" t="s">
        <v>1410</v>
      </c>
      <c r="H1" s="1" t="s">
        <v>1411</v>
      </c>
      <c r="I1" s="1" t="s">
        <v>1412</v>
      </c>
      <c r="J1" s="1" t="s">
        <v>1413</v>
      </c>
      <c r="K1" s="1" t="s">
        <v>1414</v>
      </c>
      <c r="L1" s="1" t="s">
        <v>1415</v>
      </c>
      <c r="M1" s="1" t="s">
        <v>1416</v>
      </c>
      <c r="N1" s="1" t="s">
        <v>1417</v>
      </c>
      <c r="O1" s="1" t="s">
        <v>1418</v>
      </c>
      <c r="P1" s="1" t="s">
        <v>1419</v>
      </c>
      <c r="Q1" s="1" t="s">
        <v>1420</v>
      </c>
      <c r="R1" s="1" t="s">
        <v>1421</v>
      </c>
      <c r="S1" s="1" t="s">
        <v>1422</v>
      </c>
      <c r="T1" s="1" t="s">
        <v>1423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53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24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8</v>
      </c>
      <c r="S10" t="s">
        <v>78</v>
      </c>
      <c r="T10" t="s">
        <v>28</v>
      </c>
    </row>
    <row r="11" spans="1:20">
      <c r="A11" t="s">
        <v>110</v>
      </c>
      <c r="B11" t="s">
        <v>111</v>
      </c>
      <c r="C11" t="s">
        <v>100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106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132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120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161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132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66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53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191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78</v>
      </c>
      <c r="T20" t="s">
        <v>120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106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106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15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191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132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140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28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86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106</v>
      </c>
      <c r="S28" t="s">
        <v>78</v>
      </c>
      <c r="T28" t="s">
        <v>120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87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66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132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132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15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152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120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53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132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191</v>
      </c>
      <c r="J44" t="s">
        <v>48</v>
      </c>
      <c r="K44" t="s">
        <v>74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191</v>
      </c>
      <c r="Q44" t="s">
        <v>191</v>
      </c>
      <c r="R44" t="s">
        <v>191</v>
      </c>
      <c r="S44" t="s">
        <v>78</v>
      </c>
      <c r="T44" t="s">
        <v>53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258</v>
      </c>
      <c r="L45" t="s">
        <v>472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106</v>
      </c>
      <c r="J47" t="s">
        <v>48</v>
      </c>
      <c r="K47" t="s">
        <v>312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106</v>
      </c>
      <c r="Q47" t="s">
        <v>8</v>
      </c>
      <c r="R47" t="s">
        <v>106</v>
      </c>
      <c r="S47" t="s">
        <v>78</v>
      </c>
      <c r="T47" t="s">
        <v>87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14</v>
      </c>
      <c r="J48" t="s">
        <v>48</v>
      </c>
      <c r="K48" t="s">
        <v>499</v>
      </c>
      <c r="L48" t="s">
        <v>500</v>
      </c>
      <c r="M48" t="s">
        <v>501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120</v>
      </c>
    </row>
    <row r="49" spans="1:20">
      <c r="A49" t="s">
        <v>502</v>
      </c>
      <c r="B49" t="s">
        <v>503</v>
      </c>
      <c r="C49" t="s">
        <v>2</v>
      </c>
      <c r="D49" t="s">
        <v>504</v>
      </c>
      <c r="E49" t="s">
        <v>505</v>
      </c>
      <c r="F49" t="s">
        <v>506</v>
      </c>
      <c r="G49" t="s">
        <v>507</v>
      </c>
      <c r="H49" s="2" t="s">
        <v>508</v>
      </c>
      <c r="I49" t="s">
        <v>8</v>
      </c>
      <c r="J49" t="s">
        <v>48</v>
      </c>
      <c r="K49" t="s">
        <v>509</v>
      </c>
      <c r="L49" t="s">
        <v>510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511</v>
      </c>
      <c r="B50" t="s">
        <v>512</v>
      </c>
      <c r="C50" t="s">
        <v>56</v>
      </c>
      <c r="D50" t="s">
        <v>513</v>
      </c>
      <c r="E50" t="s">
        <v>514</v>
      </c>
      <c r="F50" t="s">
        <v>515</v>
      </c>
      <c r="G50" t="s">
        <v>516</v>
      </c>
      <c r="H50" s="2" t="s">
        <v>517</v>
      </c>
      <c r="I50" t="s">
        <v>191</v>
      </c>
      <c r="J50" t="s">
        <v>48</v>
      </c>
      <c r="K50" t="s">
        <v>518</v>
      </c>
      <c r="L50" t="s">
        <v>519</v>
      </c>
      <c r="M50" t="s">
        <v>520</v>
      </c>
      <c r="N50" t="s">
        <v>521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522</v>
      </c>
      <c r="B51" t="s">
        <v>523</v>
      </c>
      <c r="C51" t="s">
        <v>56</v>
      </c>
      <c r="D51" t="s">
        <v>524</v>
      </c>
      <c r="E51" t="s">
        <v>525</v>
      </c>
      <c r="F51" t="s">
        <v>526</v>
      </c>
      <c r="G51" t="s">
        <v>527</v>
      </c>
      <c r="H51" s="2" t="s">
        <v>528</v>
      </c>
      <c r="I51" t="s">
        <v>8</v>
      </c>
      <c r="J51" t="s">
        <v>48</v>
      </c>
      <c r="K51" t="s">
        <v>258</v>
      </c>
      <c r="L51" t="s">
        <v>529</v>
      </c>
      <c r="M51" t="s">
        <v>530</v>
      </c>
      <c r="N51" t="s">
        <v>531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532</v>
      </c>
      <c r="B52" t="s">
        <v>533</v>
      </c>
      <c r="C52" t="s">
        <v>2</v>
      </c>
      <c r="D52" t="s">
        <v>534</v>
      </c>
      <c r="E52" t="s">
        <v>535</v>
      </c>
      <c r="F52" t="s">
        <v>536</v>
      </c>
      <c r="G52" t="s">
        <v>537</v>
      </c>
      <c r="H52" s="2" t="s">
        <v>538</v>
      </c>
      <c r="I52" t="s">
        <v>106</v>
      </c>
      <c r="J52" t="s">
        <v>9</v>
      </c>
      <c r="K52" t="s">
        <v>344</v>
      </c>
      <c r="L52" t="s">
        <v>539</v>
      </c>
      <c r="M52" t="s">
        <v>540</v>
      </c>
      <c r="N52" t="s">
        <v>541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66</v>
      </c>
    </row>
    <row r="53" spans="1:20">
      <c r="A53" t="s">
        <v>542</v>
      </c>
      <c r="B53" t="s">
        <v>543</v>
      </c>
      <c r="C53" t="s">
        <v>306</v>
      </c>
      <c r="D53" t="s">
        <v>544</v>
      </c>
      <c r="E53" t="s">
        <v>545</v>
      </c>
      <c r="F53" t="s">
        <v>546</v>
      </c>
      <c r="G53" t="s">
        <v>547</v>
      </c>
      <c r="H53" s="2" t="s">
        <v>548</v>
      </c>
      <c r="I53" t="s">
        <v>14</v>
      </c>
      <c r="J53" t="s">
        <v>9</v>
      </c>
      <c r="K53" t="s">
        <v>394</v>
      </c>
      <c r="L53" t="s">
        <v>226</v>
      </c>
      <c r="M53" t="s">
        <v>227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549</v>
      </c>
      <c r="B54" t="s">
        <v>550</v>
      </c>
      <c r="C54" t="s">
        <v>306</v>
      </c>
      <c r="D54" t="s">
        <v>551</v>
      </c>
      <c r="E54" t="s">
        <v>552</v>
      </c>
      <c r="F54" t="s">
        <v>553</v>
      </c>
      <c r="G54" t="s">
        <v>554</v>
      </c>
      <c r="H54" s="2" t="s">
        <v>555</v>
      </c>
      <c r="I54" t="s">
        <v>106</v>
      </c>
      <c r="J54" t="s">
        <v>48</v>
      </c>
      <c r="K54" t="s">
        <v>375</v>
      </c>
      <c r="L54" t="s">
        <v>556</v>
      </c>
      <c r="M54" t="s">
        <v>557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132</v>
      </c>
    </row>
    <row r="55" spans="1:20">
      <c r="A55" t="s">
        <v>558</v>
      </c>
      <c r="B55" t="s">
        <v>559</v>
      </c>
      <c r="C55" t="s">
        <v>306</v>
      </c>
      <c r="D55" t="s">
        <v>560</v>
      </c>
      <c r="E55" t="s">
        <v>561</v>
      </c>
      <c r="F55" t="s">
        <v>562</v>
      </c>
      <c r="G55" t="s">
        <v>563</v>
      </c>
      <c r="H55" s="2" t="s">
        <v>564</v>
      </c>
      <c r="I55" t="s">
        <v>106</v>
      </c>
      <c r="J55" t="s">
        <v>9</v>
      </c>
      <c r="K55" t="s">
        <v>312</v>
      </c>
      <c r="L55" t="s">
        <v>565</v>
      </c>
      <c r="M55" t="s">
        <v>566</v>
      </c>
      <c r="N55" t="s">
        <v>567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87</v>
      </c>
    </row>
    <row r="56" spans="1:20">
      <c r="A56" t="s">
        <v>568</v>
      </c>
      <c r="B56" t="s">
        <v>569</v>
      </c>
      <c r="C56" t="s">
        <v>56</v>
      </c>
      <c r="D56" t="s">
        <v>570</v>
      </c>
      <c r="E56" t="s">
        <v>571</v>
      </c>
      <c r="F56" t="s">
        <v>572</v>
      </c>
      <c r="G56" t="s">
        <v>573</v>
      </c>
      <c r="H56" s="2" t="s">
        <v>574</v>
      </c>
      <c r="I56" t="s">
        <v>191</v>
      </c>
      <c r="J56" t="s">
        <v>48</v>
      </c>
      <c r="K56" t="s">
        <v>74</v>
      </c>
      <c r="L56" t="s">
        <v>575</v>
      </c>
      <c r="M56" t="s">
        <v>576</v>
      </c>
      <c r="N56" t="s">
        <v>577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53</v>
      </c>
    </row>
    <row r="57" spans="1:20">
      <c r="A57" t="s">
        <v>578</v>
      </c>
      <c r="B57" t="s">
        <v>579</v>
      </c>
      <c r="C57" t="s">
        <v>219</v>
      </c>
      <c r="D57" t="s">
        <v>580</v>
      </c>
      <c r="E57" t="s">
        <v>581</v>
      </c>
      <c r="F57" t="s">
        <v>582</v>
      </c>
      <c r="G57" t="s">
        <v>583</v>
      </c>
      <c r="H57" s="2" t="s">
        <v>584</v>
      </c>
      <c r="I57" t="s">
        <v>14</v>
      </c>
      <c r="J57" t="s">
        <v>48</v>
      </c>
      <c r="K57" t="s">
        <v>161</v>
      </c>
      <c r="L57" t="s">
        <v>585</v>
      </c>
      <c r="M57" t="s">
        <v>586</v>
      </c>
      <c r="N57" t="s">
        <v>587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132</v>
      </c>
    </row>
    <row r="58" spans="1:20">
      <c r="A58" t="s">
        <v>588</v>
      </c>
      <c r="B58" t="s">
        <v>589</v>
      </c>
      <c r="C58" t="s">
        <v>219</v>
      </c>
      <c r="D58" t="s">
        <v>590</v>
      </c>
      <c r="E58" t="s">
        <v>591</v>
      </c>
      <c r="F58" t="s">
        <v>592</v>
      </c>
      <c r="G58" t="s">
        <v>593</v>
      </c>
      <c r="H58" s="2" t="s">
        <v>594</v>
      </c>
      <c r="I58" t="s">
        <v>8</v>
      </c>
      <c r="J58" t="s">
        <v>9</v>
      </c>
      <c r="K58" t="s">
        <v>161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132</v>
      </c>
    </row>
    <row r="59" spans="1:20">
      <c r="A59" t="s">
        <v>595</v>
      </c>
      <c r="B59" t="s">
        <v>596</v>
      </c>
      <c r="C59" t="s">
        <v>219</v>
      </c>
      <c r="D59" t="s">
        <v>597</v>
      </c>
      <c r="E59" t="s">
        <v>598</v>
      </c>
      <c r="F59" t="s">
        <v>599</v>
      </c>
      <c r="G59" t="s">
        <v>600</v>
      </c>
      <c r="H59" s="2" t="s">
        <v>601</v>
      </c>
      <c r="I59" t="s">
        <v>106</v>
      </c>
      <c r="J59" t="s">
        <v>9</v>
      </c>
      <c r="K59" t="s">
        <v>394</v>
      </c>
      <c r="L59" t="s">
        <v>602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603</v>
      </c>
      <c r="B60" t="s">
        <v>604</v>
      </c>
      <c r="C60" t="s">
        <v>219</v>
      </c>
      <c r="D60" t="s">
        <v>605</v>
      </c>
      <c r="E60" t="s">
        <v>606</v>
      </c>
      <c r="F60" t="s">
        <v>607</v>
      </c>
      <c r="G60" t="s">
        <v>608</v>
      </c>
      <c r="H60" s="2" t="s">
        <v>609</v>
      </c>
      <c r="I60" t="s">
        <v>8</v>
      </c>
      <c r="J60" t="s">
        <v>9</v>
      </c>
      <c r="K60" t="s">
        <v>405</v>
      </c>
      <c r="L60" t="s">
        <v>50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106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87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106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87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394</v>
      </c>
      <c r="L64" t="s">
        <v>556</v>
      </c>
      <c r="M64" t="s">
        <v>557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106</v>
      </c>
      <c r="J66" t="s">
        <v>9</v>
      </c>
      <c r="K66" t="s">
        <v>394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87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106</v>
      </c>
      <c r="J68" t="s">
        <v>9</v>
      </c>
      <c r="K68" t="s">
        <v>225</v>
      </c>
      <c r="L68" t="s">
        <v>682</v>
      </c>
      <c r="M68" t="s">
        <v>173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8</v>
      </c>
      <c r="J69" t="s">
        <v>48</v>
      </c>
      <c r="K69" t="s">
        <v>619</v>
      </c>
      <c r="L69" t="s">
        <v>690</v>
      </c>
      <c r="M69" t="s">
        <v>610</v>
      </c>
      <c r="N69" t="s">
        <v>611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87</v>
      </c>
    </row>
    <row r="70" spans="1:20">
      <c r="A70" t="s">
        <v>691</v>
      </c>
      <c r="B70" t="s">
        <v>692</v>
      </c>
      <c r="C70" t="s">
        <v>219</v>
      </c>
      <c r="D70" t="s">
        <v>693</v>
      </c>
      <c r="E70" t="s">
        <v>694</v>
      </c>
      <c r="F70" t="s">
        <v>695</v>
      </c>
      <c r="G70" t="s">
        <v>696</v>
      </c>
      <c r="H70" s="2" t="s">
        <v>697</v>
      </c>
      <c r="I70" t="s">
        <v>191</v>
      </c>
      <c r="J70" t="s">
        <v>9</v>
      </c>
      <c r="K70" t="s">
        <v>518</v>
      </c>
      <c r="L70" t="s">
        <v>345</v>
      </c>
      <c r="M70" t="s">
        <v>698</v>
      </c>
      <c r="N70" t="s">
        <v>699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700</v>
      </c>
      <c r="B71" t="s">
        <v>701</v>
      </c>
      <c r="C71" t="s">
        <v>219</v>
      </c>
      <c r="D71" t="s">
        <v>702</v>
      </c>
      <c r="E71" t="s">
        <v>703</v>
      </c>
      <c r="F71" t="s">
        <v>704</v>
      </c>
      <c r="G71" t="s">
        <v>705</v>
      </c>
      <c r="H71" s="2" t="s">
        <v>706</v>
      </c>
      <c r="I71" t="s">
        <v>191</v>
      </c>
      <c r="J71" t="s">
        <v>48</v>
      </c>
      <c r="K71" t="s">
        <v>619</v>
      </c>
      <c r="L71" t="s">
        <v>395</v>
      </c>
      <c r="M71" t="s">
        <v>707</v>
      </c>
      <c r="N71" t="s">
        <v>708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87</v>
      </c>
    </row>
    <row r="72" spans="1:20">
      <c r="A72" t="s">
        <v>709</v>
      </c>
      <c r="B72" t="s">
        <v>710</v>
      </c>
      <c r="C72" t="s">
        <v>219</v>
      </c>
      <c r="D72" t="s">
        <v>711</v>
      </c>
      <c r="E72" t="s">
        <v>712</v>
      </c>
      <c r="F72" t="s">
        <v>713</v>
      </c>
      <c r="G72" t="s">
        <v>714</v>
      </c>
      <c r="H72" s="2" t="s">
        <v>715</v>
      </c>
      <c r="I72" t="s">
        <v>106</v>
      </c>
      <c r="J72" t="s">
        <v>9</v>
      </c>
      <c r="K72" t="s">
        <v>225</v>
      </c>
      <c r="L72" t="s">
        <v>716</v>
      </c>
      <c r="M72" t="s">
        <v>717</v>
      </c>
      <c r="N72" t="s">
        <v>718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229</v>
      </c>
    </row>
    <row r="73" spans="1:20">
      <c r="A73" t="s">
        <v>719</v>
      </c>
      <c r="B73" t="s">
        <v>720</v>
      </c>
      <c r="C73" t="s">
        <v>219</v>
      </c>
      <c r="D73" t="s">
        <v>721</v>
      </c>
      <c r="E73" t="s">
        <v>722</v>
      </c>
      <c r="F73" t="s">
        <v>723</v>
      </c>
      <c r="G73" t="s">
        <v>724</v>
      </c>
      <c r="H73" s="2" t="s">
        <v>725</v>
      </c>
      <c r="I73" t="s">
        <v>8</v>
      </c>
      <c r="J73" t="s">
        <v>9</v>
      </c>
      <c r="K73" t="s">
        <v>140</v>
      </c>
      <c r="L73" t="s">
        <v>726</v>
      </c>
      <c r="M73" t="s">
        <v>727</v>
      </c>
      <c r="N73" t="s">
        <v>728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729</v>
      </c>
      <c r="B74" t="s">
        <v>730</v>
      </c>
      <c r="C74" t="s">
        <v>219</v>
      </c>
      <c r="D74" t="s">
        <v>731</v>
      </c>
      <c r="E74" t="s">
        <v>732</v>
      </c>
      <c r="F74" t="s">
        <v>733</v>
      </c>
      <c r="G74" t="s">
        <v>734</v>
      </c>
      <c r="H74" s="2" t="s">
        <v>735</v>
      </c>
      <c r="I74" t="s">
        <v>106</v>
      </c>
      <c r="J74" t="s">
        <v>9</v>
      </c>
      <c r="K74" t="s">
        <v>258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736</v>
      </c>
      <c r="B75" t="s">
        <v>737</v>
      </c>
      <c r="C75" t="s">
        <v>219</v>
      </c>
      <c r="D75" t="s">
        <v>738</v>
      </c>
      <c r="E75" t="s">
        <v>739</v>
      </c>
      <c r="F75" t="s">
        <v>740</v>
      </c>
      <c r="G75" t="s">
        <v>741</v>
      </c>
      <c r="H75" s="2" t="s">
        <v>742</v>
      </c>
      <c r="I75" t="s">
        <v>14</v>
      </c>
      <c r="J75" t="s">
        <v>48</v>
      </c>
      <c r="K75" t="s">
        <v>743</v>
      </c>
      <c r="L75" t="s">
        <v>744</v>
      </c>
      <c r="M75" t="s">
        <v>745</v>
      </c>
      <c r="N75" t="s">
        <v>746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747</v>
      </c>
      <c r="B76" t="s">
        <v>748</v>
      </c>
      <c r="C76" t="s">
        <v>219</v>
      </c>
      <c r="D76" t="s">
        <v>749</v>
      </c>
      <c r="E76" t="s">
        <v>750</v>
      </c>
      <c r="F76" t="s">
        <v>751</v>
      </c>
      <c r="G76" t="s">
        <v>752</v>
      </c>
      <c r="H76" s="2" t="s">
        <v>753</v>
      </c>
      <c r="I76" t="s">
        <v>8</v>
      </c>
      <c r="J76" t="s">
        <v>48</v>
      </c>
      <c r="K76" t="s">
        <v>754</v>
      </c>
      <c r="L76" t="s">
        <v>755</v>
      </c>
      <c r="M76" t="s">
        <v>396</v>
      </c>
      <c r="N76" t="s">
        <v>756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132</v>
      </c>
    </row>
    <row r="77" spans="1:20">
      <c r="A77" t="s">
        <v>757</v>
      </c>
      <c r="B77" t="s">
        <v>758</v>
      </c>
      <c r="C77" t="s">
        <v>219</v>
      </c>
      <c r="D77" t="s">
        <v>759</v>
      </c>
      <c r="E77" t="s">
        <v>760</v>
      </c>
      <c r="F77" t="s">
        <v>761</v>
      </c>
      <c r="G77" t="s">
        <v>762</v>
      </c>
      <c r="H77" s="2" t="s">
        <v>763</v>
      </c>
      <c r="I77" t="s">
        <v>106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87</v>
      </c>
    </row>
    <row r="78" spans="1:20">
      <c r="A78" t="s">
        <v>764</v>
      </c>
      <c r="B78" t="s">
        <v>765</v>
      </c>
      <c r="C78" t="s">
        <v>219</v>
      </c>
      <c r="D78" t="s">
        <v>766</v>
      </c>
      <c r="E78" t="s">
        <v>767</v>
      </c>
      <c r="F78" t="s">
        <v>768</v>
      </c>
      <c r="G78" t="s">
        <v>769</v>
      </c>
      <c r="H78" s="2" t="s">
        <v>770</v>
      </c>
      <c r="I78" t="s">
        <v>8</v>
      </c>
      <c r="J78" t="s">
        <v>48</v>
      </c>
      <c r="K78" t="s">
        <v>225</v>
      </c>
      <c r="L78" t="s">
        <v>462</v>
      </c>
      <c r="M78" t="s">
        <v>463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8</v>
      </c>
      <c r="R78" t="s">
        <v>8</v>
      </c>
      <c r="S78" t="s">
        <v>78</v>
      </c>
      <c r="T78" t="s">
        <v>229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106</v>
      </c>
      <c r="J79" t="s">
        <v>9</v>
      </c>
      <c r="K79" t="s">
        <v>778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66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106</v>
      </c>
      <c r="J80" t="s">
        <v>9</v>
      </c>
      <c r="K80" t="s">
        <v>140</v>
      </c>
      <c r="L80" t="s">
        <v>539</v>
      </c>
      <c r="M80" t="s">
        <v>540</v>
      </c>
      <c r="N80" t="s">
        <v>541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28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128</v>
      </c>
      <c r="L81" t="s">
        <v>793</v>
      </c>
      <c r="M81" t="s">
        <v>794</v>
      </c>
      <c r="N81" t="s">
        <v>795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132</v>
      </c>
    </row>
    <row r="82" spans="1:20">
      <c r="A82" t="s">
        <v>796</v>
      </c>
      <c r="B82" t="s">
        <v>797</v>
      </c>
      <c r="C82" t="s">
        <v>219</v>
      </c>
      <c r="D82" t="s">
        <v>798</v>
      </c>
      <c r="E82" t="s">
        <v>799</v>
      </c>
      <c r="F82" t="s">
        <v>800</v>
      </c>
      <c r="G82" t="s">
        <v>801</v>
      </c>
      <c r="H82" s="2" t="s">
        <v>802</v>
      </c>
      <c r="I82" t="s">
        <v>8</v>
      </c>
      <c r="J82" t="s">
        <v>9</v>
      </c>
      <c r="K82" t="s">
        <v>62</v>
      </c>
      <c r="L82" t="s">
        <v>803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804</v>
      </c>
      <c r="B83" t="s">
        <v>805</v>
      </c>
      <c r="C83" t="s">
        <v>219</v>
      </c>
      <c r="D83" t="s">
        <v>806</v>
      </c>
      <c r="E83" t="s">
        <v>807</v>
      </c>
      <c r="F83" t="s">
        <v>808</v>
      </c>
      <c r="G83" t="s">
        <v>809</v>
      </c>
      <c r="H83" s="2" t="s">
        <v>810</v>
      </c>
      <c r="I83" t="s">
        <v>106</v>
      </c>
      <c r="J83" t="s">
        <v>9</v>
      </c>
      <c r="K83" t="s">
        <v>24</v>
      </c>
      <c r="L83" t="s">
        <v>811</v>
      </c>
      <c r="M83" t="s">
        <v>812</v>
      </c>
      <c r="N83" t="s">
        <v>813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814</v>
      </c>
      <c r="B84" t="s">
        <v>815</v>
      </c>
      <c r="C84" t="s">
        <v>219</v>
      </c>
      <c r="D84" t="s">
        <v>816</v>
      </c>
      <c r="E84" t="s">
        <v>817</v>
      </c>
      <c r="F84" t="s">
        <v>818</v>
      </c>
      <c r="G84" t="s">
        <v>819</v>
      </c>
      <c r="H84" s="2" t="s">
        <v>820</v>
      </c>
      <c r="I84" t="s">
        <v>8</v>
      </c>
      <c r="J84" t="s">
        <v>9</v>
      </c>
      <c r="K84" t="s">
        <v>821</v>
      </c>
      <c r="L84" t="s">
        <v>510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120</v>
      </c>
    </row>
    <row r="85" spans="1:20">
      <c r="A85" t="s">
        <v>822</v>
      </c>
      <c r="B85" t="s">
        <v>823</v>
      </c>
      <c r="C85" t="s">
        <v>219</v>
      </c>
      <c r="D85" t="s">
        <v>824</v>
      </c>
      <c r="E85" t="s">
        <v>825</v>
      </c>
      <c r="F85" t="s">
        <v>826</v>
      </c>
      <c r="G85" t="s">
        <v>827</v>
      </c>
      <c r="H85" s="2" t="s">
        <v>828</v>
      </c>
      <c r="I85" t="s">
        <v>8</v>
      </c>
      <c r="J85" t="s">
        <v>48</v>
      </c>
      <c r="K85" t="s">
        <v>24</v>
      </c>
      <c r="L85" t="s">
        <v>829</v>
      </c>
      <c r="M85" t="s">
        <v>830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831</v>
      </c>
      <c r="B86" t="s">
        <v>832</v>
      </c>
      <c r="C86" t="s">
        <v>219</v>
      </c>
      <c r="D86" t="s">
        <v>833</v>
      </c>
      <c r="E86" t="s">
        <v>834</v>
      </c>
      <c r="F86" t="s">
        <v>835</v>
      </c>
      <c r="G86" t="s">
        <v>836</v>
      </c>
      <c r="H86" s="2" t="s">
        <v>837</v>
      </c>
      <c r="I86" t="s">
        <v>106</v>
      </c>
      <c r="J86" t="s">
        <v>9</v>
      </c>
      <c r="K86" t="s">
        <v>161</v>
      </c>
      <c r="L86" t="s">
        <v>811</v>
      </c>
      <c r="M86" t="s">
        <v>812</v>
      </c>
      <c r="N86" t="s">
        <v>813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132</v>
      </c>
    </row>
    <row r="87" spans="1:20">
      <c r="A87" t="s">
        <v>838</v>
      </c>
      <c r="B87" t="s">
        <v>839</v>
      </c>
      <c r="C87" t="s">
        <v>31</v>
      </c>
      <c r="D87" t="s">
        <v>840</v>
      </c>
      <c r="E87" t="s">
        <v>841</v>
      </c>
      <c r="F87" t="s">
        <v>842</v>
      </c>
      <c r="G87" t="s">
        <v>843</v>
      </c>
      <c r="H87" s="2" t="s">
        <v>844</v>
      </c>
      <c r="I87" t="s">
        <v>14</v>
      </c>
      <c r="J87" t="s">
        <v>48</v>
      </c>
      <c r="K87" t="s">
        <v>394</v>
      </c>
      <c r="L87" t="s">
        <v>845</v>
      </c>
      <c r="M87" t="s">
        <v>846</v>
      </c>
      <c r="N87" t="s">
        <v>847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28</v>
      </c>
    </row>
    <row r="88" spans="1:20">
      <c r="A88" t="s">
        <v>848</v>
      </c>
      <c r="B88" t="s">
        <v>849</v>
      </c>
      <c r="C88" t="s">
        <v>56</v>
      </c>
      <c r="D88" t="s">
        <v>850</v>
      </c>
      <c r="E88" t="s">
        <v>851</v>
      </c>
      <c r="F88" t="s">
        <v>852</v>
      </c>
      <c r="G88" t="s">
        <v>853</v>
      </c>
      <c r="H88" s="2" t="s">
        <v>854</v>
      </c>
      <c r="I88" t="s">
        <v>8</v>
      </c>
      <c r="J88" t="s">
        <v>48</v>
      </c>
      <c r="K88" t="s">
        <v>855</v>
      </c>
      <c r="L88" t="s">
        <v>856</v>
      </c>
      <c r="M88" t="s">
        <v>857</v>
      </c>
      <c r="N88" t="s">
        <v>858</v>
      </c>
      <c r="O88" s="3">
        <f>HYPERLINK(".\.\export_data\inspection_reports\80521_manchester", ".\export_data\inspection_reports\80521_manchester")</f>
        <v>0</v>
      </c>
      <c r="P88" t="s">
        <v>8</v>
      </c>
      <c r="Q88" t="s">
        <v>14</v>
      </c>
      <c r="R88" t="s">
        <v>8</v>
      </c>
      <c r="S88" t="s">
        <v>78</v>
      </c>
      <c r="T88" t="s">
        <v>120</v>
      </c>
    </row>
    <row r="89" spans="1:20">
      <c r="A89" t="s">
        <v>859</v>
      </c>
      <c r="B89" t="s">
        <v>860</v>
      </c>
      <c r="C89" t="s">
        <v>861</v>
      </c>
      <c r="D89" t="s">
        <v>862</v>
      </c>
      <c r="E89" t="s">
        <v>863</v>
      </c>
      <c r="F89" t="s">
        <v>864</v>
      </c>
      <c r="G89" t="s">
        <v>865</v>
      </c>
      <c r="H89" s="2" t="s">
        <v>866</v>
      </c>
      <c r="I89" t="s">
        <v>8</v>
      </c>
      <c r="J89" t="s">
        <v>48</v>
      </c>
      <c r="K89" t="s">
        <v>24</v>
      </c>
      <c r="L89" t="s">
        <v>867</v>
      </c>
      <c r="M89" t="s">
        <v>868</v>
      </c>
      <c r="N89" t="s">
        <v>869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870</v>
      </c>
      <c r="B90" t="s">
        <v>871</v>
      </c>
      <c r="C90" t="s">
        <v>294</v>
      </c>
      <c r="D90" t="s">
        <v>872</v>
      </c>
      <c r="E90" t="s">
        <v>873</v>
      </c>
      <c r="F90" t="s">
        <v>874</v>
      </c>
      <c r="G90" t="s">
        <v>875</v>
      </c>
      <c r="H90" s="2" t="s">
        <v>876</v>
      </c>
      <c r="I90" t="s">
        <v>14</v>
      </c>
      <c r="J90" t="s">
        <v>48</v>
      </c>
      <c r="K90" t="s">
        <v>383</v>
      </c>
      <c r="L90" t="s">
        <v>575</v>
      </c>
      <c r="M90" t="s">
        <v>576</v>
      </c>
      <c r="N90" t="s">
        <v>577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132</v>
      </c>
    </row>
    <row r="91" spans="1:20">
      <c r="A91" t="s">
        <v>877</v>
      </c>
      <c r="B91" t="s">
        <v>878</v>
      </c>
      <c r="C91" t="s">
        <v>100</v>
      </c>
      <c r="D91" t="s">
        <v>879</v>
      </c>
      <c r="E91" t="s">
        <v>880</v>
      </c>
      <c r="F91" t="s">
        <v>881</v>
      </c>
      <c r="G91" t="s">
        <v>882</v>
      </c>
      <c r="H91" s="2" t="s">
        <v>883</v>
      </c>
      <c r="I91" t="s">
        <v>8</v>
      </c>
      <c r="J91" t="s">
        <v>48</v>
      </c>
      <c r="K91" t="s">
        <v>778</v>
      </c>
      <c r="L91" t="s">
        <v>884</v>
      </c>
      <c r="M91" t="s">
        <v>885</v>
      </c>
      <c r="N91" t="s">
        <v>886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66</v>
      </c>
    </row>
    <row r="92" spans="1:20">
      <c r="A92" t="s">
        <v>887</v>
      </c>
      <c r="B92" t="s">
        <v>888</v>
      </c>
      <c r="C92" t="s">
        <v>294</v>
      </c>
      <c r="D92" t="s">
        <v>889</v>
      </c>
      <c r="E92" t="s">
        <v>890</v>
      </c>
      <c r="F92" t="s">
        <v>891</v>
      </c>
      <c r="G92" t="s">
        <v>892</v>
      </c>
      <c r="H92" s="2" t="s">
        <v>893</v>
      </c>
      <c r="I92" t="s">
        <v>8</v>
      </c>
      <c r="J92" t="s">
        <v>9</v>
      </c>
      <c r="K92" t="s">
        <v>247</v>
      </c>
      <c r="L92" t="s">
        <v>894</v>
      </c>
      <c r="M92" t="s">
        <v>895</v>
      </c>
      <c r="N92" t="s">
        <v>896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15</v>
      </c>
    </row>
    <row r="93" spans="1:20">
      <c r="A93" t="s">
        <v>897</v>
      </c>
      <c r="B93" t="s">
        <v>898</v>
      </c>
      <c r="C93" t="s">
        <v>31</v>
      </c>
      <c r="D93" t="s">
        <v>899</v>
      </c>
      <c r="E93" t="s">
        <v>900</v>
      </c>
      <c r="F93" t="s">
        <v>901</v>
      </c>
      <c r="G93" t="s">
        <v>902</v>
      </c>
      <c r="H93" s="2" t="s">
        <v>903</v>
      </c>
      <c r="I93" t="s">
        <v>8</v>
      </c>
      <c r="J93" t="s">
        <v>48</v>
      </c>
      <c r="K93" t="s">
        <v>312</v>
      </c>
      <c r="L93" t="s">
        <v>829</v>
      </c>
      <c r="M93" t="s">
        <v>830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87</v>
      </c>
    </row>
    <row r="94" spans="1:20">
      <c r="A94" t="s">
        <v>904</v>
      </c>
      <c r="B94" t="s">
        <v>905</v>
      </c>
      <c r="C94" t="s">
        <v>2</v>
      </c>
      <c r="D94" t="s">
        <v>906</v>
      </c>
      <c r="E94" t="s">
        <v>907</v>
      </c>
      <c r="F94" t="s">
        <v>908</v>
      </c>
      <c r="G94" t="s">
        <v>909</v>
      </c>
      <c r="H94" s="2" t="s">
        <v>910</v>
      </c>
      <c r="I94" t="s">
        <v>8</v>
      </c>
      <c r="J94" t="s">
        <v>48</v>
      </c>
      <c r="K94" t="s">
        <v>375</v>
      </c>
      <c r="L94" t="s">
        <v>37</v>
      </c>
      <c r="M94" t="s">
        <v>911</v>
      </c>
      <c r="N94" t="s">
        <v>912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132</v>
      </c>
    </row>
    <row r="95" spans="1:20">
      <c r="A95" t="s">
        <v>913</v>
      </c>
      <c r="B95" t="s">
        <v>914</v>
      </c>
      <c r="C95" t="s">
        <v>2</v>
      </c>
      <c r="D95" t="s">
        <v>915</v>
      </c>
      <c r="E95" t="s">
        <v>916</v>
      </c>
      <c r="F95" t="s">
        <v>917</v>
      </c>
      <c r="G95" t="s">
        <v>918</v>
      </c>
      <c r="H95" s="2" t="s">
        <v>919</v>
      </c>
      <c r="I95" t="s">
        <v>106</v>
      </c>
      <c r="J95" t="s">
        <v>9</v>
      </c>
      <c r="K95" t="s">
        <v>920</v>
      </c>
      <c r="L95" t="s">
        <v>301</v>
      </c>
      <c r="M95" t="s">
        <v>921</v>
      </c>
      <c r="N95" t="s">
        <v>922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78</v>
      </c>
      <c r="T95" t="s">
        <v>15</v>
      </c>
    </row>
    <row r="96" spans="1:20">
      <c r="A96" t="s">
        <v>923</v>
      </c>
      <c r="B96" t="s">
        <v>924</v>
      </c>
      <c r="C96" t="s">
        <v>306</v>
      </c>
      <c r="D96" t="s">
        <v>925</v>
      </c>
      <c r="E96" t="s">
        <v>926</v>
      </c>
      <c r="F96" t="s">
        <v>927</v>
      </c>
      <c r="G96" t="s">
        <v>928</v>
      </c>
      <c r="H96" s="2" t="s">
        <v>929</v>
      </c>
      <c r="I96" t="s">
        <v>14</v>
      </c>
      <c r="J96" t="s">
        <v>48</v>
      </c>
      <c r="K96" t="s">
        <v>202</v>
      </c>
      <c r="L96" t="s">
        <v>930</v>
      </c>
      <c r="M96" t="s">
        <v>921</v>
      </c>
      <c r="N96" t="s">
        <v>922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53</v>
      </c>
    </row>
    <row r="97" spans="1:20">
      <c r="A97" t="s">
        <v>931</v>
      </c>
      <c r="B97" t="s">
        <v>932</v>
      </c>
      <c r="C97" t="s">
        <v>18</v>
      </c>
      <c r="D97" t="s">
        <v>933</v>
      </c>
      <c r="E97" t="s">
        <v>934</v>
      </c>
      <c r="F97" t="s">
        <v>935</v>
      </c>
      <c r="G97" t="s">
        <v>936</v>
      </c>
      <c r="H97" s="2" t="s">
        <v>937</v>
      </c>
      <c r="I97" t="s">
        <v>14</v>
      </c>
      <c r="J97" t="s">
        <v>48</v>
      </c>
      <c r="K97" t="s">
        <v>10</v>
      </c>
      <c r="L97" t="s">
        <v>575</v>
      </c>
      <c r="M97" t="s">
        <v>576</v>
      </c>
      <c r="N97" t="s">
        <v>938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939</v>
      </c>
      <c r="B98" t="s">
        <v>940</v>
      </c>
      <c r="C98" t="s">
        <v>294</v>
      </c>
      <c r="D98" t="s">
        <v>941</v>
      </c>
      <c r="E98" t="s">
        <v>942</v>
      </c>
      <c r="F98" t="s">
        <v>943</v>
      </c>
      <c r="G98" t="s">
        <v>944</v>
      </c>
      <c r="H98" s="2" t="s">
        <v>945</v>
      </c>
      <c r="I98" t="s">
        <v>106</v>
      </c>
      <c r="J98" t="s">
        <v>9</v>
      </c>
      <c r="K98" t="s">
        <v>375</v>
      </c>
      <c r="L98" t="s">
        <v>811</v>
      </c>
      <c r="M98" t="s">
        <v>812</v>
      </c>
      <c r="N98" t="s">
        <v>813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132</v>
      </c>
    </row>
    <row r="99" spans="1:20">
      <c r="A99" t="s">
        <v>946</v>
      </c>
      <c r="B99" t="s">
        <v>947</v>
      </c>
      <c r="C99" t="s">
        <v>2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106</v>
      </c>
      <c r="J99" t="s">
        <v>9</v>
      </c>
      <c r="K99" t="s">
        <v>920</v>
      </c>
      <c r="L99" t="s">
        <v>953</v>
      </c>
      <c r="M99" t="s">
        <v>954</v>
      </c>
      <c r="N99" t="s">
        <v>955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15</v>
      </c>
    </row>
    <row r="100" spans="1:20">
      <c r="A100" t="s">
        <v>956</v>
      </c>
      <c r="B100" t="s">
        <v>957</v>
      </c>
      <c r="C100" t="s">
        <v>294</v>
      </c>
      <c r="D100" t="s">
        <v>958</v>
      </c>
      <c r="E100" t="s">
        <v>959</v>
      </c>
      <c r="F100" t="s">
        <v>960</v>
      </c>
      <c r="G100" t="s">
        <v>961</v>
      </c>
      <c r="H100" s="2" t="s">
        <v>962</v>
      </c>
      <c r="I100" t="s">
        <v>106</v>
      </c>
      <c r="J100" t="s">
        <v>9</v>
      </c>
      <c r="K100" t="s">
        <v>963</v>
      </c>
      <c r="L100" t="s">
        <v>964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965</v>
      </c>
      <c r="B101" t="s">
        <v>966</v>
      </c>
      <c r="C101" t="s">
        <v>306</v>
      </c>
      <c r="D101" t="s">
        <v>967</v>
      </c>
      <c r="E101" t="s">
        <v>968</v>
      </c>
      <c r="F101" t="s">
        <v>969</v>
      </c>
      <c r="G101" t="s">
        <v>970</v>
      </c>
      <c r="H101" s="2" t="s">
        <v>971</v>
      </c>
      <c r="I101" t="s">
        <v>191</v>
      </c>
      <c r="J101" t="s">
        <v>117</v>
      </c>
      <c r="K101" t="s">
        <v>963</v>
      </c>
      <c r="N101" t="s">
        <v>847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754</v>
      </c>
      <c r="L102" t="s">
        <v>964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132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518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100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754</v>
      </c>
      <c r="L104" t="s">
        <v>993</v>
      </c>
      <c r="M104" t="s">
        <v>163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132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191</v>
      </c>
      <c r="J105" t="s">
        <v>48</v>
      </c>
      <c r="K105" t="s">
        <v>743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15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132</v>
      </c>
    </row>
    <row r="107" spans="1:20">
      <c r="A107" t="s">
        <v>1015</v>
      </c>
      <c r="B107" t="s">
        <v>1016</v>
      </c>
      <c r="C107" t="s">
        <v>100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100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556</v>
      </c>
      <c r="M108" t="s">
        <v>557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294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14</v>
      </c>
      <c r="J109" t="s">
        <v>117</v>
      </c>
      <c r="K109" t="s">
        <v>920</v>
      </c>
      <c r="N109" t="s">
        <v>1039</v>
      </c>
      <c r="O109" s="3">
        <f>HYPERLINK(".\.\export_data\inspection_reports\80541_redcar and cleveland", ".\export_data\inspection_reports\80541_redcar and cleveland")</f>
        <v>0</v>
      </c>
      <c r="P109" t="s">
        <v>14</v>
      </c>
      <c r="Q109" t="s">
        <v>14</v>
      </c>
      <c r="R109" t="s">
        <v>14</v>
      </c>
      <c r="S109" t="s">
        <v>14</v>
      </c>
      <c r="T109" t="s">
        <v>15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472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8</v>
      </c>
      <c r="J111" t="s">
        <v>9</v>
      </c>
      <c r="K111" t="s">
        <v>1056</v>
      </c>
      <c r="L111" t="s">
        <v>1057</v>
      </c>
      <c r="M111" t="s">
        <v>280</v>
      </c>
      <c r="N111" t="s">
        <v>281</v>
      </c>
      <c r="O111" s="3">
        <f>HYPERLINK(".\.\export_data\inspection_reports\80543_rotherham", ".\export_data\inspection_reports\80543_rotherham")</f>
        <v>0</v>
      </c>
      <c r="P111" t="s">
        <v>8</v>
      </c>
      <c r="Q111" t="s">
        <v>8</v>
      </c>
      <c r="R111" t="s">
        <v>8</v>
      </c>
      <c r="S111" t="s">
        <v>78</v>
      </c>
      <c r="T111" t="s">
        <v>120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106</v>
      </c>
      <c r="J112" t="s">
        <v>9</v>
      </c>
      <c r="K112" t="s">
        <v>140</v>
      </c>
      <c r="L112" t="s">
        <v>811</v>
      </c>
      <c r="M112" t="s">
        <v>812</v>
      </c>
      <c r="N112" t="s">
        <v>813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28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106</v>
      </c>
      <c r="J113" t="s">
        <v>9</v>
      </c>
      <c r="K113" t="s">
        <v>754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132</v>
      </c>
    </row>
    <row r="114" spans="1:20">
      <c r="A114" t="s">
        <v>1072</v>
      </c>
      <c r="B114" t="s">
        <v>1073</v>
      </c>
      <c r="C114" t="s">
        <v>100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619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87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509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14</v>
      </c>
      <c r="J117" t="s">
        <v>48</v>
      </c>
      <c r="K117" t="s">
        <v>202</v>
      </c>
      <c r="L117" t="s">
        <v>489</v>
      </c>
      <c r="M117" t="s">
        <v>490</v>
      </c>
      <c r="N117" t="s">
        <v>491</v>
      </c>
      <c r="O117" s="3">
        <f>HYPERLINK(".\.\export_data\inspection_reports\80549_sandwell", ".\export_data\inspection_reports\80549_sandwell")</f>
        <v>0</v>
      </c>
      <c r="P117" t="s">
        <v>14</v>
      </c>
      <c r="Q117" t="s">
        <v>14</v>
      </c>
      <c r="R117" t="s">
        <v>14</v>
      </c>
      <c r="S117" t="s">
        <v>78</v>
      </c>
      <c r="T117" t="s">
        <v>53</v>
      </c>
    </row>
    <row r="118" spans="1:20">
      <c r="A118" t="s">
        <v>1105</v>
      </c>
      <c r="B118" t="s">
        <v>1106</v>
      </c>
      <c r="C118" t="s">
        <v>56</v>
      </c>
      <c r="D118" t="s">
        <v>1107</v>
      </c>
      <c r="E118" t="s">
        <v>1108</v>
      </c>
      <c r="F118" t="s">
        <v>1109</v>
      </c>
      <c r="G118" t="s">
        <v>1110</v>
      </c>
      <c r="H118" s="2" t="s">
        <v>1111</v>
      </c>
      <c r="I118" t="s">
        <v>8</v>
      </c>
      <c r="J118" t="s">
        <v>48</v>
      </c>
      <c r="K118" t="s">
        <v>86</v>
      </c>
      <c r="L118" t="s">
        <v>1112</v>
      </c>
      <c r="M118" t="s">
        <v>540</v>
      </c>
      <c r="N118" t="s">
        <v>541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1113</v>
      </c>
      <c r="B119" t="s">
        <v>1114</v>
      </c>
      <c r="C119" t="s">
        <v>2</v>
      </c>
      <c r="D119" t="s">
        <v>1115</v>
      </c>
      <c r="E119" t="s">
        <v>1116</v>
      </c>
      <c r="F119" t="s">
        <v>1117</v>
      </c>
      <c r="G119" t="s">
        <v>1118</v>
      </c>
      <c r="H119" s="2" t="s">
        <v>1119</v>
      </c>
      <c r="I119" t="s">
        <v>8</v>
      </c>
      <c r="J119" t="s">
        <v>48</v>
      </c>
      <c r="K119" t="s">
        <v>509</v>
      </c>
      <c r="L119" t="s">
        <v>11</v>
      </c>
      <c r="M119" t="s">
        <v>1120</v>
      </c>
      <c r="N119" t="s">
        <v>1121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1122</v>
      </c>
      <c r="B120" t="s">
        <v>1123</v>
      </c>
      <c r="C120" t="s">
        <v>42</v>
      </c>
      <c r="D120" t="s">
        <v>1124</v>
      </c>
      <c r="E120" t="s">
        <v>1125</v>
      </c>
      <c r="F120" t="s">
        <v>1126</v>
      </c>
      <c r="G120" t="s">
        <v>1127</v>
      </c>
      <c r="H120" s="2" t="s">
        <v>1128</v>
      </c>
      <c r="I120" t="s">
        <v>106</v>
      </c>
      <c r="J120" t="s">
        <v>48</v>
      </c>
      <c r="K120" t="s">
        <v>1129</v>
      </c>
      <c r="L120" t="s">
        <v>1112</v>
      </c>
      <c r="M120" t="s">
        <v>540</v>
      </c>
      <c r="N120" t="s">
        <v>541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120</v>
      </c>
    </row>
    <row r="121" spans="1:20">
      <c r="A121" t="s">
        <v>1130</v>
      </c>
      <c r="B121" t="s">
        <v>1131</v>
      </c>
      <c r="C121" t="s">
        <v>100</v>
      </c>
      <c r="D121" t="s">
        <v>1132</v>
      </c>
      <c r="E121" t="s">
        <v>1133</v>
      </c>
      <c r="F121" t="s">
        <v>1134</v>
      </c>
      <c r="G121" t="s">
        <v>1135</v>
      </c>
      <c r="H121" s="2" t="s">
        <v>1136</v>
      </c>
      <c r="I121" t="s">
        <v>14</v>
      </c>
      <c r="J121" t="s">
        <v>48</v>
      </c>
      <c r="K121" t="s">
        <v>24</v>
      </c>
      <c r="L121" t="s">
        <v>472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1137</v>
      </c>
      <c r="B122" t="s">
        <v>1138</v>
      </c>
      <c r="C122" t="s">
        <v>42</v>
      </c>
      <c r="D122" t="s">
        <v>1139</v>
      </c>
      <c r="E122" t="s">
        <v>1140</v>
      </c>
      <c r="F122" t="s">
        <v>1141</v>
      </c>
      <c r="G122" t="s">
        <v>1142</v>
      </c>
      <c r="H122" s="2" t="s">
        <v>1143</v>
      </c>
      <c r="I122" t="s">
        <v>191</v>
      </c>
      <c r="J122" t="s">
        <v>48</v>
      </c>
      <c r="K122" t="s">
        <v>1144</v>
      </c>
      <c r="L122" t="s">
        <v>365</v>
      </c>
      <c r="M122" t="s">
        <v>366</v>
      </c>
      <c r="N122" t="s">
        <v>367</v>
      </c>
      <c r="O122" s="3">
        <f>HYPERLINK(".\.\export_data\inspection_reports\80554_solihull", ".\export_data\inspection_reports\80554_solihull")</f>
        <v>0</v>
      </c>
      <c r="P122" t="s">
        <v>191</v>
      </c>
      <c r="Q122" t="s">
        <v>191</v>
      </c>
      <c r="R122" t="s">
        <v>191</v>
      </c>
      <c r="S122" t="s">
        <v>78</v>
      </c>
      <c r="T122" t="s">
        <v>120</v>
      </c>
    </row>
    <row r="123" spans="1:20">
      <c r="A123" t="s">
        <v>1145</v>
      </c>
      <c r="B123" t="s">
        <v>1146</v>
      </c>
      <c r="C123" t="s">
        <v>18</v>
      </c>
      <c r="D123" t="s">
        <v>1147</v>
      </c>
      <c r="E123" t="s">
        <v>1148</v>
      </c>
      <c r="F123" t="s">
        <v>1149</v>
      </c>
      <c r="G123" t="s">
        <v>1150</v>
      </c>
      <c r="H123" s="2" t="s">
        <v>1151</v>
      </c>
      <c r="I123" t="s">
        <v>8</v>
      </c>
      <c r="J123" t="s">
        <v>48</v>
      </c>
      <c r="K123" t="s">
        <v>405</v>
      </c>
      <c r="L123" t="s">
        <v>462</v>
      </c>
      <c r="M123" t="s">
        <v>463</v>
      </c>
      <c r="N123" t="s">
        <v>464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1152</v>
      </c>
      <c r="B124" t="s">
        <v>1153</v>
      </c>
      <c r="C124" t="s">
        <v>18</v>
      </c>
      <c r="D124" t="s">
        <v>1154</v>
      </c>
      <c r="E124" t="s">
        <v>1155</v>
      </c>
      <c r="F124" t="s">
        <v>1156</v>
      </c>
      <c r="G124" t="s">
        <v>1157</v>
      </c>
      <c r="H124" s="2" t="s">
        <v>1158</v>
      </c>
      <c r="I124" t="s">
        <v>8</v>
      </c>
      <c r="J124" t="s">
        <v>48</v>
      </c>
      <c r="K124" t="s">
        <v>10</v>
      </c>
      <c r="L124" t="s">
        <v>663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1159</v>
      </c>
      <c r="B125" t="s">
        <v>1160</v>
      </c>
      <c r="C125" t="s">
        <v>294</v>
      </c>
      <c r="D125" t="s">
        <v>1161</v>
      </c>
      <c r="E125" t="s">
        <v>1162</v>
      </c>
      <c r="F125" t="s">
        <v>1163</v>
      </c>
      <c r="G125" t="s">
        <v>1164</v>
      </c>
      <c r="H125" s="2" t="s">
        <v>1165</v>
      </c>
      <c r="I125" t="s">
        <v>191</v>
      </c>
      <c r="J125" t="s">
        <v>9</v>
      </c>
      <c r="K125" t="s">
        <v>181</v>
      </c>
      <c r="L125" t="s">
        <v>75</v>
      </c>
      <c r="M125" t="s">
        <v>530</v>
      </c>
      <c r="N125" t="s">
        <v>1166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78</v>
      </c>
      <c r="T125" t="s">
        <v>53</v>
      </c>
    </row>
    <row r="126" spans="1:20">
      <c r="A126" t="s">
        <v>1167</v>
      </c>
      <c r="B126" t="s">
        <v>1168</v>
      </c>
      <c r="C126" t="s">
        <v>100</v>
      </c>
      <c r="D126" t="s">
        <v>1169</v>
      </c>
      <c r="E126" t="s">
        <v>1170</v>
      </c>
      <c r="F126" t="s">
        <v>1171</v>
      </c>
      <c r="G126" t="s">
        <v>1172</v>
      </c>
      <c r="H126" s="2" t="s">
        <v>1173</v>
      </c>
      <c r="I126" t="s">
        <v>8</v>
      </c>
      <c r="J126" t="s">
        <v>48</v>
      </c>
      <c r="K126" t="s">
        <v>394</v>
      </c>
      <c r="L126" t="s">
        <v>1174</v>
      </c>
      <c r="M126" t="s">
        <v>1175</v>
      </c>
      <c r="N126" t="s">
        <v>1176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1177</v>
      </c>
      <c r="B127" t="s">
        <v>1178</v>
      </c>
      <c r="C127" t="s">
        <v>31</v>
      </c>
      <c r="D127" t="s">
        <v>1179</v>
      </c>
      <c r="E127" t="s">
        <v>1180</v>
      </c>
      <c r="F127" t="s">
        <v>1181</v>
      </c>
      <c r="G127" t="s">
        <v>1182</v>
      </c>
      <c r="H127" s="2" t="s">
        <v>1183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87</v>
      </c>
    </row>
    <row r="128" spans="1:20">
      <c r="A128" t="s">
        <v>1184</v>
      </c>
      <c r="B128" t="s">
        <v>1185</v>
      </c>
      <c r="C128" t="s">
        <v>56</v>
      </c>
      <c r="D128" t="s">
        <v>1186</v>
      </c>
      <c r="E128" t="s">
        <v>1187</v>
      </c>
      <c r="F128" t="s">
        <v>1188</v>
      </c>
      <c r="G128" t="s">
        <v>1189</v>
      </c>
      <c r="H128" s="2" t="s">
        <v>1190</v>
      </c>
      <c r="I128" t="s">
        <v>8</v>
      </c>
      <c r="J128" t="s">
        <v>48</v>
      </c>
      <c r="K128" t="s">
        <v>743</v>
      </c>
      <c r="L128" t="s">
        <v>585</v>
      </c>
      <c r="M128" t="s">
        <v>586</v>
      </c>
      <c r="N128" t="s">
        <v>587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1191</v>
      </c>
      <c r="B129" t="s">
        <v>1192</v>
      </c>
      <c r="C129" t="s">
        <v>42</v>
      </c>
      <c r="D129" t="s">
        <v>1193</v>
      </c>
      <c r="E129" t="s">
        <v>1194</v>
      </c>
      <c r="F129" t="s">
        <v>1195</v>
      </c>
      <c r="G129" t="s">
        <v>1196</v>
      </c>
      <c r="H129" s="2" t="s">
        <v>1197</v>
      </c>
      <c r="I129" t="s">
        <v>14</v>
      </c>
      <c r="J129" t="s">
        <v>9</v>
      </c>
      <c r="K129" t="s">
        <v>202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53</v>
      </c>
    </row>
    <row r="130" spans="1:20">
      <c r="A130" t="s">
        <v>1198</v>
      </c>
      <c r="B130" t="s">
        <v>1199</v>
      </c>
      <c r="C130" t="s">
        <v>56</v>
      </c>
      <c r="D130" t="s">
        <v>1200</v>
      </c>
      <c r="E130" t="s">
        <v>1201</v>
      </c>
      <c r="F130" t="s">
        <v>1202</v>
      </c>
      <c r="G130" t="s">
        <v>1203</v>
      </c>
      <c r="H130" s="2" t="s">
        <v>1204</v>
      </c>
      <c r="I130" t="s">
        <v>14</v>
      </c>
      <c r="J130" t="s">
        <v>48</v>
      </c>
      <c r="K130" t="s">
        <v>74</v>
      </c>
      <c r="L130" t="s">
        <v>894</v>
      </c>
      <c r="M130" t="s">
        <v>314</v>
      </c>
      <c r="N130" t="s">
        <v>1205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53</v>
      </c>
    </row>
    <row r="131" spans="1:20">
      <c r="A131" t="s">
        <v>1206</v>
      </c>
      <c r="B131" t="s">
        <v>1207</v>
      </c>
      <c r="C131" t="s">
        <v>294</v>
      </c>
      <c r="D131" t="s">
        <v>1208</v>
      </c>
      <c r="E131" t="s">
        <v>1209</v>
      </c>
      <c r="F131" t="s">
        <v>1210</v>
      </c>
      <c r="G131" t="s">
        <v>1211</v>
      </c>
      <c r="H131" s="2" t="s">
        <v>1212</v>
      </c>
      <c r="I131" t="s">
        <v>14</v>
      </c>
      <c r="J131" t="s">
        <v>48</v>
      </c>
      <c r="K131" t="s">
        <v>1213</v>
      </c>
      <c r="L131" t="s">
        <v>1214</v>
      </c>
      <c r="M131" t="s">
        <v>1215</v>
      </c>
      <c r="N131" t="s">
        <v>1216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1217</v>
      </c>
      <c r="B132" t="s">
        <v>1218</v>
      </c>
      <c r="C132" t="s">
        <v>42</v>
      </c>
      <c r="D132" t="s">
        <v>1219</v>
      </c>
      <c r="E132" t="s">
        <v>1220</v>
      </c>
      <c r="F132" t="s">
        <v>1221</v>
      </c>
      <c r="G132" t="s">
        <v>1222</v>
      </c>
      <c r="H132" s="2" t="s">
        <v>1223</v>
      </c>
      <c r="I132" t="s">
        <v>14</v>
      </c>
      <c r="J132" t="s">
        <v>48</v>
      </c>
      <c r="K132" t="s">
        <v>49</v>
      </c>
      <c r="L132" t="s">
        <v>894</v>
      </c>
      <c r="M132" t="s">
        <v>314</v>
      </c>
      <c r="N132" t="s">
        <v>1205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1224</v>
      </c>
      <c r="B133" t="s">
        <v>1225</v>
      </c>
      <c r="C133" t="s">
        <v>31</v>
      </c>
      <c r="D133" t="s">
        <v>1226</v>
      </c>
      <c r="E133" t="s">
        <v>1227</v>
      </c>
      <c r="F133" t="s">
        <v>1228</v>
      </c>
      <c r="G133" t="s">
        <v>1229</v>
      </c>
      <c r="H133" s="2" t="s">
        <v>1230</v>
      </c>
      <c r="I133" t="s">
        <v>14</v>
      </c>
      <c r="J133" t="s">
        <v>9</v>
      </c>
      <c r="K133" t="s">
        <v>181</v>
      </c>
      <c r="L133" t="s">
        <v>663</v>
      </c>
      <c r="M133" t="s">
        <v>664</v>
      </c>
      <c r="N133" t="s">
        <v>1231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1232</v>
      </c>
      <c r="B134" t="s">
        <v>1233</v>
      </c>
      <c r="C134" t="s">
        <v>294</v>
      </c>
      <c r="D134" t="s">
        <v>1234</v>
      </c>
      <c r="E134" t="s">
        <v>1235</v>
      </c>
      <c r="F134" t="s">
        <v>1236</v>
      </c>
      <c r="G134" t="s">
        <v>1237</v>
      </c>
      <c r="H134" s="2" t="s">
        <v>1238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1239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132</v>
      </c>
    </row>
    <row r="135" spans="1:20">
      <c r="A135" t="s">
        <v>1240</v>
      </c>
      <c r="B135" t="s">
        <v>1241</v>
      </c>
      <c r="C135" t="s">
        <v>100</v>
      </c>
      <c r="D135" t="s">
        <v>1242</v>
      </c>
      <c r="E135" t="s">
        <v>1243</v>
      </c>
      <c r="F135" t="s">
        <v>1244</v>
      </c>
      <c r="G135" t="s">
        <v>1245</v>
      </c>
      <c r="H135" s="2" t="s">
        <v>1246</v>
      </c>
      <c r="I135" t="s">
        <v>8</v>
      </c>
      <c r="J135" t="s">
        <v>48</v>
      </c>
      <c r="K135" t="s">
        <v>509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1247</v>
      </c>
      <c r="B136" t="s">
        <v>1248</v>
      </c>
      <c r="C136" t="s">
        <v>18</v>
      </c>
      <c r="D136" t="s">
        <v>1249</v>
      </c>
      <c r="E136" t="s">
        <v>1250</v>
      </c>
      <c r="F136" t="s">
        <v>1251</v>
      </c>
      <c r="G136" t="s">
        <v>1252</v>
      </c>
      <c r="H136" s="2" t="s">
        <v>1253</v>
      </c>
      <c r="I136" t="s">
        <v>191</v>
      </c>
      <c r="J136" t="s">
        <v>48</v>
      </c>
      <c r="K136" t="s">
        <v>140</v>
      </c>
      <c r="L136" t="s">
        <v>867</v>
      </c>
      <c r="M136" t="s">
        <v>868</v>
      </c>
      <c r="N136" t="s">
        <v>869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28</v>
      </c>
    </row>
    <row r="137" spans="1:20">
      <c r="A137" t="s">
        <v>1254</v>
      </c>
      <c r="B137" t="s">
        <v>1255</v>
      </c>
      <c r="C137" t="s">
        <v>56</v>
      </c>
      <c r="D137" t="s">
        <v>1256</v>
      </c>
      <c r="E137" t="s">
        <v>1257</v>
      </c>
      <c r="F137" t="s">
        <v>1258</v>
      </c>
      <c r="G137" t="s">
        <v>1259</v>
      </c>
      <c r="H137" s="2" t="s">
        <v>1260</v>
      </c>
      <c r="I137" t="s">
        <v>191</v>
      </c>
      <c r="J137" t="s">
        <v>48</v>
      </c>
      <c r="K137" t="s">
        <v>117</v>
      </c>
      <c r="L137" t="s">
        <v>755</v>
      </c>
      <c r="M137" t="s">
        <v>396</v>
      </c>
      <c r="N137" t="s">
        <v>1261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1262</v>
      </c>
      <c r="B138" t="s">
        <v>1263</v>
      </c>
      <c r="C138" t="s">
        <v>42</v>
      </c>
      <c r="D138" t="s">
        <v>1264</v>
      </c>
      <c r="E138" t="s">
        <v>1265</v>
      </c>
      <c r="F138" t="s">
        <v>1266</v>
      </c>
      <c r="G138" t="s">
        <v>1267</v>
      </c>
      <c r="H138" s="2" t="s">
        <v>1268</v>
      </c>
      <c r="I138" t="s">
        <v>106</v>
      </c>
      <c r="J138" t="s">
        <v>9</v>
      </c>
      <c r="K138" t="s">
        <v>181</v>
      </c>
      <c r="L138" t="s">
        <v>1269</v>
      </c>
      <c r="M138" t="s">
        <v>557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1270</v>
      </c>
      <c r="B139" t="s">
        <v>1271</v>
      </c>
      <c r="C139" t="s">
        <v>31</v>
      </c>
      <c r="D139" t="s">
        <v>1272</v>
      </c>
      <c r="E139" t="s">
        <v>1273</v>
      </c>
      <c r="F139" t="s">
        <v>1274</v>
      </c>
      <c r="G139" t="s">
        <v>1275</v>
      </c>
      <c r="H139" s="2" t="s">
        <v>1276</v>
      </c>
      <c r="I139" t="s">
        <v>106</v>
      </c>
      <c r="J139" t="s">
        <v>9</v>
      </c>
      <c r="K139" t="s">
        <v>509</v>
      </c>
      <c r="L139" t="s">
        <v>1277</v>
      </c>
      <c r="M139" t="s">
        <v>1278</v>
      </c>
      <c r="N139" t="s">
        <v>1279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1280</v>
      </c>
      <c r="B140" t="s">
        <v>1281</v>
      </c>
      <c r="C140" t="s">
        <v>18</v>
      </c>
      <c r="D140" t="s">
        <v>1282</v>
      </c>
      <c r="E140" t="s">
        <v>1283</v>
      </c>
      <c r="F140" t="s">
        <v>1284</v>
      </c>
      <c r="G140" t="s">
        <v>1285</v>
      </c>
      <c r="H140" s="2" t="s">
        <v>1286</v>
      </c>
      <c r="I140" t="s">
        <v>8</v>
      </c>
      <c r="J140" t="s">
        <v>48</v>
      </c>
      <c r="K140" t="s">
        <v>1287</v>
      </c>
      <c r="L140" t="s">
        <v>856</v>
      </c>
      <c r="M140" t="s">
        <v>857</v>
      </c>
      <c r="N140" t="s">
        <v>1288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120</v>
      </c>
    </row>
    <row r="141" spans="1:20">
      <c r="A141" t="s">
        <v>1289</v>
      </c>
      <c r="B141" t="s">
        <v>1290</v>
      </c>
      <c r="C141" t="s">
        <v>56</v>
      </c>
      <c r="D141" t="s">
        <v>1291</v>
      </c>
      <c r="E141" t="s">
        <v>1292</v>
      </c>
      <c r="F141" t="s">
        <v>1293</v>
      </c>
      <c r="G141" t="s">
        <v>1294</v>
      </c>
      <c r="H141" s="2" t="s">
        <v>1295</v>
      </c>
      <c r="I141" t="s">
        <v>14</v>
      </c>
      <c r="J141" t="s">
        <v>48</v>
      </c>
      <c r="K141" t="s">
        <v>140</v>
      </c>
      <c r="L141" t="s">
        <v>214</v>
      </c>
      <c r="M141" t="s">
        <v>215</v>
      </c>
      <c r="N141" t="s">
        <v>216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28</v>
      </c>
    </row>
    <row r="142" spans="1:20">
      <c r="A142" t="s">
        <v>1296</v>
      </c>
      <c r="B142" t="s">
        <v>1297</v>
      </c>
      <c r="C142" t="s">
        <v>42</v>
      </c>
      <c r="D142" t="s">
        <v>1298</v>
      </c>
      <c r="E142" t="s">
        <v>1299</v>
      </c>
      <c r="F142" t="s">
        <v>1300</v>
      </c>
      <c r="G142" t="s">
        <v>1301</v>
      </c>
      <c r="H142" s="2" t="s">
        <v>1302</v>
      </c>
      <c r="I142" t="s">
        <v>106</v>
      </c>
      <c r="J142" t="s">
        <v>9</v>
      </c>
      <c r="K142" t="s">
        <v>140</v>
      </c>
      <c r="L142" t="s">
        <v>894</v>
      </c>
      <c r="M142" t="s">
        <v>895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28</v>
      </c>
    </row>
    <row r="143" spans="1:20">
      <c r="A143" t="s">
        <v>1303</v>
      </c>
      <c r="B143" t="s">
        <v>1304</v>
      </c>
      <c r="C143" t="s">
        <v>56</v>
      </c>
      <c r="D143" t="s">
        <v>1305</v>
      </c>
      <c r="E143" t="s">
        <v>1306</v>
      </c>
      <c r="F143" t="s">
        <v>1307</v>
      </c>
      <c r="G143" t="s">
        <v>1308</v>
      </c>
      <c r="H143" s="2" t="s">
        <v>1309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1310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1311</v>
      </c>
      <c r="B144" t="s">
        <v>1312</v>
      </c>
      <c r="C144" t="s">
        <v>42</v>
      </c>
      <c r="D144" t="s">
        <v>1313</v>
      </c>
      <c r="E144" t="s">
        <v>1314</v>
      </c>
      <c r="F144" t="s">
        <v>1315</v>
      </c>
      <c r="G144" t="s">
        <v>1316</v>
      </c>
      <c r="H144" s="2" t="s">
        <v>1317</v>
      </c>
      <c r="I144" t="s">
        <v>14</v>
      </c>
      <c r="J144" t="s">
        <v>9</v>
      </c>
      <c r="K144" t="s">
        <v>117</v>
      </c>
      <c r="L144" t="s">
        <v>1318</v>
      </c>
      <c r="M144" t="s">
        <v>1319</v>
      </c>
      <c r="N144" t="s">
        <v>1320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1321</v>
      </c>
      <c r="B145" t="s">
        <v>1322</v>
      </c>
      <c r="C145" t="s">
        <v>100</v>
      </c>
      <c r="D145" t="s">
        <v>1323</v>
      </c>
      <c r="E145" t="s">
        <v>1324</v>
      </c>
      <c r="F145" t="s">
        <v>1325</v>
      </c>
      <c r="G145" t="s">
        <v>1326</v>
      </c>
      <c r="H145" s="2" t="s">
        <v>1327</v>
      </c>
      <c r="I145" t="s">
        <v>8</v>
      </c>
      <c r="J145" t="s">
        <v>9</v>
      </c>
      <c r="K145" t="s">
        <v>1328</v>
      </c>
      <c r="L145" t="s">
        <v>1329</v>
      </c>
      <c r="M145" t="s">
        <v>1330</v>
      </c>
      <c r="N145" t="s">
        <v>1331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120</v>
      </c>
    </row>
    <row r="146" spans="1:20">
      <c r="A146" t="s">
        <v>1332</v>
      </c>
      <c r="B146" t="s">
        <v>1333</v>
      </c>
      <c r="C146" t="s">
        <v>306</v>
      </c>
      <c r="D146" t="s">
        <v>1334</v>
      </c>
      <c r="E146" t="s">
        <v>1335</v>
      </c>
      <c r="F146" t="s">
        <v>1336</v>
      </c>
      <c r="G146" t="s">
        <v>1337</v>
      </c>
      <c r="H146" s="2" t="s">
        <v>1338</v>
      </c>
      <c r="I146" t="s">
        <v>14</v>
      </c>
      <c r="J146" t="s">
        <v>48</v>
      </c>
      <c r="K146" t="s">
        <v>202</v>
      </c>
      <c r="L146" t="s">
        <v>930</v>
      </c>
      <c r="M146" t="s">
        <v>921</v>
      </c>
      <c r="N146" t="s">
        <v>922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53</v>
      </c>
    </row>
    <row r="147" spans="1:20">
      <c r="A147" t="s">
        <v>1339</v>
      </c>
      <c r="B147" t="s">
        <v>1340</v>
      </c>
      <c r="C147" t="s">
        <v>100</v>
      </c>
      <c r="D147" t="s">
        <v>1341</v>
      </c>
      <c r="E147" t="s">
        <v>1342</v>
      </c>
      <c r="F147" t="s">
        <v>1343</v>
      </c>
      <c r="G147" t="s">
        <v>1344</v>
      </c>
      <c r="H147" s="2" t="s">
        <v>1345</v>
      </c>
      <c r="I147" t="s">
        <v>14</v>
      </c>
      <c r="J147" t="s">
        <v>48</v>
      </c>
      <c r="K147" t="s">
        <v>1346</v>
      </c>
      <c r="L147" t="s">
        <v>575</v>
      </c>
      <c r="M147" t="s">
        <v>576</v>
      </c>
      <c r="N147" t="s">
        <v>938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1347</v>
      </c>
      <c r="B148" t="s">
        <v>1348</v>
      </c>
      <c r="C148" t="s">
        <v>56</v>
      </c>
      <c r="D148" t="s">
        <v>284</v>
      </c>
      <c r="E148" t="s">
        <v>1349</v>
      </c>
      <c r="F148" t="s">
        <v>1350</v>
      </c>
      <c r="G148" t="s">
        <v>1351</v>
      </c>
      <c r="H148" s="2" t="s">
        <v>1352</v>
      </c>
      <c r="I148" t="s">
        <v>8</v>
      </c>
      <c r="J148" t="s">
        <v>48</v>
      </c>
      <c r="K148" t="s">
        <v>1096</v>
      </c>
      <c r="L148" t="s">
        <v>556</v>
      </c>
      <c r="M148" t="s">
        <v>557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1353</v>
      </c>
      <c r="B149" t="s">
        <v>1354</v>
      </c>
      <c r="C149" t="s">
        <v>56</v>
      </c>
      <c r="D149" t="s">
        <v>1355</v>
      </c>
      <c r="E149" t="s">
        <v>1356</v>
      </c>
      <c r="F149" t="s">
        <v>1357</v>
      </c>
      <c r="G149" t="s">
        <v>1358</v>
      </c>
      <c r="H149" s="2" t="s">
        <v>1359</v>
      </c>
      <c r="I149" t="s">
        <v>14</v>
      </c>
      <c r="J149" t="s">
        <v>48</v>
      </c>
      <c r="K149" t="s">
        <v>1360</v>
      </c>
      <c r="L149" t="s">
        <v>489</v>
      </c>
      <c r="M149" t="s">
        <v>490</v>
      </c>
      <c r="N149" t="s">
        <v>491</v>
      </c>
      <c r="O149" s="3">
        <f>HYPERLINK(".\.\export_data\inspection_reports\80579_wigan", ".\export_data\inspection_reports\80579_wigan")</f>
        <v>0</v>
      </c>
      <c r="P149" t="s">
        <v>14</v>
      </c>
      <c r="Q149" t="s">
        <v>14</v>
      </c>
      <c r="R149" t="s">
        <v>14</v>
      </c>
      <c r="S149" t="s">
        <v>78</v>
      </c>
      <c r="T149" t="s">
        <v>120</v>
      </c>
    </row>
    <row r="150" spans="1:20">
      <c r="A150" t="s">
        <v>1361</v>
      </c>
      <c r="B150" t="s">
        <v>1362</v>
      </c>
      <c r="C150" t="s">
        <v>18</v>
      </c>
      <c r="D150" t="s">
        <v>1363</v>
      </c>
      <c r="E150" t="s">
        <v>1364</v>
      </c>
      <c r="F150" t="s">
        <v>1365</v>
      </c>
      <c r="G150" t="s">
        <v>1366</v>
      </c>
      <c r="H150" s="2" t="s">
        <v>1367</v>
      </c>
      <c r="I150" t="s">
        <v>106</v>
      </c>
      <c r="J150" t="s">
        <v>9</v>
      </c>
      <c r="K150" t="s">
        <v>405</v>
      </c>
      <c r="L150" t="s">
        <v>1368</v>
      </c>
      <c r="M150" t="s">
        <v>1369</v>
      </c>
      <c r="N150" t="s">
        <v>1370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1371</v>
      </c>
      <c r="B151" t="s">
        <v>1372</v>
      </c>
      <c r="C151" t="s">
        <v>56</v>
      </c>
      <c r="D151" t="s">
        <v>1373</v>
      </c>
      <c r="E151" t="s">
        <v>1374</v>
      </c>
      <c r="F151" t="s">
        <v>1375</v>
      </c>
      <c r="G151" t="s">
        <v>1376</v>
      </c>
      <c r="H151" s="2" t="s">
        <v>1377</v>
      </c>
      <c r="I151" t="s">
        <v>14</v>
      </c>
      <c r="J151" t="s">
        <v>48</v>
      </c>
      <c r="K151" t="s">
        <v>192</v>
      </c>
      <c r="L151" t="s">
        <v>1378</v>
      </c>
      <c r="M151" t="s">
        <v>1369</v>
      </c>
      <c r="N151" t="s">
        <v>1379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1380</v>
      </c>
      <c r="B152" t="s">
        <v>1381</v>
      </c>
      <c r="C152" t="s">
        <v>100</v>
      </c>
      <c r="D152" t="s">
        <v>1382</v>
      </c>
      <c r="E152" t="s">
        <v>1383</v>
      </c>
      <c r="F152" t="s">
        <v>1384</v>
      </c>
      <c r="G152" t="s">
        <v>1385</v>
      </c>
      <c r="H152" s="2" t="s">
        <v>1386</v>
      </c>
      <c r="I152" t="s">
        <v>14</v>
      </c>
      <c r="J152" t="s">
        <v>48</v>
      </c>
      <c r="K152" t="s">
        <v>394</v>
      </c>
      <c r="L152" t="s">
        <v>1214</v>
      </c>
      <c r="M152" t="s">
        <v>1215</v>
      </c>
      <c r="N152" t="s">
        <v>1216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1387</v>
      </c>
      <c r="B153" t="s">
        <v>1388</v>
      </c>
      <c r="C153" t="s">
        <v>42</v>
      </c>
      <c r="D153" t="s">
        <v>1389</v>
      </c>
      <c r="E153" t="s">
        <v>1390</v>
      </c>
      <c r="F153" t="s">
        <v>1391</v>
      </c>
      <c r="G153" t="s">
        <v>1392</v>
      </c>
      <c r="H153" s="2" t="s">
        <v>1393</v>
      </c>
      <c r="I153" t="s">
        <v>8</v>
      </c>
      <c r="J153" t="s">
        <v>9</v>
      </c>
      <c r="K153" t="s">
        <v>963</v>
      </c>
      <c r="L153" t="s">
        <v>1394</v>
      </c>
      <c r="M153" t="s">
        <v>857</v>
      </c>
      <c r="N153" t="s">
        <v>1288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1395</v>
      </c>
      <c r="B154" t="s">
        <v>1396</v>
      </c>
      <c r="C154" t="s">
        <v>42</v>
      </c>
      <c r="D154" t="s">
        <v>1397</v>
      </c>
      <c r="E154" t="s">
        <v>1398</v>
      </c>
      <c r="F154" t="s">
        <v>1399</v>
      </c>
      <c r="G154" t="s">
        <v>1400</v>
      </c>
      <c r="H154" s="2" t="s">
        <v>1401</v>
      </c>
      <c r="I154" t="s">
        <v>8</v>
      </c>
      <c r="J154" t="s">
        <v>48</v>
      </c>
      <c r="K154" t="s">
        <v>181</v>
      </c>
      <c r="L154" t="s">
        <v>1022</v>
      </c>
      <c r="M154" t="s">
        <v>1402</v>
      </c>
      <c r="N154" t="s">
        <v>1403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2025-11-10T12:08:59Z</dcterms:created>
  <dcterms:modified xsi:type="dcterms:W3CDTF">2025-11-10T12:08:59Z</dcterms:modified>
</cp:coreProperties>
</file>
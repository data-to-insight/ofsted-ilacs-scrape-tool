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<sst xmlns="http://schemas.openxmlformats.org/spreadsheetml/2006/main" count="2923" uniqueCount="1429">
  <si>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</si>
  <si>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</si>
  <si>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</si>
  <si>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</si>
  <si>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</si>
  <si>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</si>
  <si>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</si>
  <si>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</si>
  <si>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</si>
  <si>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</si>
  <si>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</si>
  <si>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</si>
  <si>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</si>
  <si>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</si>
  <si>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</si>
  <si>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</si>
  <si>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</si>
  <si>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</si>
  <si>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</si>
  <si>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</si>
  <si>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</si>
  <si>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</si>
  <si>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</si>
  <si>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</si>
  <si>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</si>
  <si>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</si>
  <si>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</si>
  <si>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</si>
  <si>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</si>
  <si>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</si>
  <si>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</si>
  <si>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</si>
  <si>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</si>
  <si>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</si>
  <si>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</si>
  <si>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</si>
  <si>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</si>
  <si>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</si>
  <si>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</si>
  <si>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</si>
  <si>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</si>
  <si>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</si>
  <si>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</si>
  <si>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</si>
  <si>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</si>
  <si>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</si>
  <si>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</si>
  <si>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</si>
  <si>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</si>
  <si>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</si>
  <si>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</si>
  <si>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</si>
  <si>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</si>
  <si>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</si>
  <si>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</si>
  <si>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</si>
  <si>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</si>
  <si>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</si>
  <si>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</si>
  <si>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</si>
  <si>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</si>
  <si>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</si>
  <si>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</si>
  <si>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</si>
  <si>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</si>
  <si>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</si>
  <si>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</si>
  <si>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</si>
  <si>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</si>
  <si>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</si>
  <si>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</si>
  <si>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</si>
  <si>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</si>
  <si>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</si>
  <si>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</si>
  <si>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</si>
  <si>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</si>
  <si>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</si>
  <si>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</si>
  <si>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</si>
  <si>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</si>
  <si>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</si>
  <si>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</si>
  <si>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</si>
  <si>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</si>
  <si>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</si>
  <si>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</si>
  <si>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</si>
  <si>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</si>
  <si>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</si>
  <si>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</si>
  <si>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</si>
  <si>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</si>
  <si>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</si>
  <si>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</si>
  <si>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</si>
  <si>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</si>
  <si>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</si>
  <si>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</si>
  <si>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</si>
  <si>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</si>
  <si>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</si>
  <si>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</si>
  <si>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</si>
  <si>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</si>
  <si>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</si>
  <si>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</si>
  <si>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</si>
  <si>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</si>
  <si>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</si>
  <si>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</si>
  <si>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</si>
  <si>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</si>
  <si>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</si>
  <si>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</si>
  <si>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</si>
  <si>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</si>
  <si>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</si>
  <si>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</si>
  <si>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</si>
  <si>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</si>
  <si>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</si>
  <si>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</si>
  <si>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</si>
  <si>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</si>
  <si>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</si>
  <si>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</si>
  <si>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</si>
  <si>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</si>
  <si>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</si>
  <si>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</si>
  <si>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</si>
  <si>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</si>
  <si>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</si>
  <si>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</si>
  <si>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</si>
  <si>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</si>
  <si>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</si>
  <si>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</si>
  <si>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</si>
  <si>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</si>
  <si>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</si>
  <si>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</si>
  <si>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</si>
  <si>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</si>
  <si>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</si>
  <si>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</si>
  <si>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</si>
  <si>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</si>
  <si>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</si>
  <si>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</si>
  <si>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</si>
  <si>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</si>
  <si>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</si>
  <si>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</si>
  <si>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</si>
  <si>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</si>
  <si>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</si>
  <si>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</si>
  <si>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</si>
  <si>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</si>
  <si>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</si>
  <si>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</si>
  <si>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</si>
  <si>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</si>
  <si>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</si>
  <si>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</si>
  <si>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</si>
  <si>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</si>
  <si>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</si>
  <si>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</si>
  <si>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</si>
  <si>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</si>
  <si>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</si>
  <si>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</si>
  <si>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</si>
  <si>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</si>
  <si>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</si>
  <si>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</si>
  <si>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</si>
  <si>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</si>
  <si>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</si>
  <si>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</si>
  <si>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</si>
  <si>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</si>
  <si>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</si>
  <si>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</si>
  <si>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</si>
  <si>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</si>
  <si>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</si>
  <si>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</si>
  <si>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</si>
  <si>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</si>
  <si>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</si>
  <si>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2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</si>
  <si>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</si>
  <si>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</si>
  <si>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</si>
  <si>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</si>
  <si>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</si>
  <si>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</si>
  <si>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</si>
  <si>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</si>
  <si>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</si>
  <si>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</si>
  <si>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</si>
  <si>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</si>
  <si>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</si>
  <si>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</si>
  <si>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</si>
  <si>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</si>
  <si>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</si>
  <si>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</si>
  <si>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</si>
  <si>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</si>
  <si>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</si>
  <si>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</si>
  <si>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</si>
  <si>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</si>
  <si>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</si>
  <si>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</si>
  <si>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</si>
  <si>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</si>
  <si>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</si>
  <si>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</si>
  <si>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</si>
  <si>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</si>
  <si>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</si>
  <si>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</si>
  <si>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</si>
  <si>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</si>
  <si>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</si>
  <si>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</si>
  <si>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</si>
  <si>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</si>
  <si>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</si>
  <si>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</si>
  <si>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</si>
  <si>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</si>
  <si>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</si>
  <si>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</si>
  <si>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</si>
  <si>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</si>
  <si>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</si>
  <si>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</si>
  <si>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</si>
  <si>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</si>
  <si>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</si>
  <si>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</si>
  <si>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</si>
  <si>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</si>
  <si>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</si>
  <si>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</si>
  <si>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</si>
  <si>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</si>
  <si>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</si>
  <si>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</si>
  <si>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</si>
  <si>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</si>
  <si>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</si>
  <si>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</si>
  <si>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</si>
  <si>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</si>
  <si>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</si>
  <si>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</si>
  <si>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</si>
  <si>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</si>
  <si>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</si>
  <si>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</si>
  <si>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</si>
  <si>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</si>
  <si>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</si>
  <si>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</si>
  <si>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</si>
  <si>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</si>
  <si>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</si>
  <si>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</si>
  <si>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</si>
  <si>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</si>
  <si>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</si>
  <si>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</si>
  <si>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</si>
  <si>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</si>
  <si>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</si>
  <si>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</si>
  <si>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</si>
  <si>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</si>
  <si>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</si>
  <si>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</si>
  <si>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</si>
  <si>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</si>
  <si>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</si>
  <si>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</si>
  <si>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</si>
  <si>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</si>
  <si>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</si>
  <si>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</si>
  <si>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</si>
  <si>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</si>
  <si>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</si>
  <si>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</si>
  <si>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</si>
  <si>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</si>
  <si>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</si>
  <si>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</si>
  <si>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</si>
  <si>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</si>
  <si>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</si>
  <si>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</si>
  <si>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</si>
  <si>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</si>
  <si>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</si>
  <si>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</si>
  <si>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</si>
  <si>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</si>
  <si>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</si>
  <si>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</si>
  <si>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</si>
  <si>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</si>
  <si>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</si>
  <si>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</si>
  <si>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</si>
  <si>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</si>
  <si>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</si>
  <si>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</si>
  <si>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</si>
  <si>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</si>
  <si>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</si>
  <si>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</si>
  <si>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</si>
  <si>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</si>
  <si>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</si>
  <si>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</si>
  <si>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</si>
  <si>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</si>
  <si>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</si>
  <si>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</si>
  <si>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</si>
  <si>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</si>
  <si>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</si>
  <si>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</si>
  <si>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</si>
  <si>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</si>
  <si>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</si>
  <si>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</si>
  <si>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</si>
  <si>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</si>
  <si>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</si>
  <si>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</si>
  <si>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</si>
  <si>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</si>
  <si>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</si>
  <si>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</si>
  <si>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</si>
  <si>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</si>
  <si>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</si>
  <si>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</si>
  <si>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</si>
  <si>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</si>
  <si>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</si>
  <si>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</si>
  <si>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</si>
  <si>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</si>
  <si>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</si>
  <si>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</si>
  <si>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</si>
  <si>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</si>
  <si>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</si>
  <si>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</si>
  <si>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</si>
  <si>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</si>
  <si>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</si>
  <si>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</si>
  <si>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</si>
  <si>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</si>
  <si>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</si>
  <si>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</si>
  <si>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</si>
  <si>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</si>
  <si>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</si>
  <si>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</si>
  <si>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</si>
  <si>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</si>
  <si>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</si>
  <si>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</si>
  <si>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</si>
  <si>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</si>
  <si>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</si>
  <si>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</si>
  <si>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</si>
  <si>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</si>
  <si>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</si>
  <si>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</si>
  <si>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</si>
  <si>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</si>
  <si>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</si>
  <si>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</si>
  <si>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</si>
  <si>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</si>
  <si>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</si>
  <si>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</si>
  <si>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</si>
  <si>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</si>
  <si>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</si>
  <si>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</si>
  <si>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</si>
  <si>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</si>
  <si>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</si>
  <si>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</si>
  <si>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</si>
  <si>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</si>
  <si>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</si>
  <si>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</si>
  <si>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</si>
  <si>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</si>
  <si>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</si>
  <si>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</si>
  <si>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</si>
  <si>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</si>
  <si>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</si>
  <si>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</si>
  <si>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</si>
  <si>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</si>
  <si>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</si>
  <si>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</si>
  <si>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</si>
  <si>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</si>
  <si>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</si>
  <si>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</si>
  <si>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</si>
  <si>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</si>
  <si>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</si>
  <si>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</si>
  <si>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</si>
  <si>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</si>
  <si>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</si>
  <si>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</si>
  <si>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</si>
  <si>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</si>
  <si>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</si>
  <si>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</si>
  <si>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</si>
  <si>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</si>
  <si>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</si>
  <si>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</si>
  <si>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</si>
  <si>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</si>
  <si>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</si>
  <si>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</si>
  <si>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</si>
  <si>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</si>
  <si>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</si>
  <si>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</si>
  <si>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</si>
  <si>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</si>
  <si>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</si>
  <si>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</si>
  <si>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</si>
  <si>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</si>
  <si>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</si>
  <si>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</si>
  <si>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</si>
  <si>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</si>
  <si>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</si>
  <si>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</si>
  <si>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</si>
  <si>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</si>
  <si>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</si>
  <si>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</si>
  <si>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</si>
  <si>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</si>
  <si>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</si>
  <si>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</si>
  <si>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</si>
  <si>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</si>
  <si>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</si>
  <si>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</si>
  <si>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</si>
  <si>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</si>
  <si>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</si>
  <si>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</si>
  <si>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</si>
  <si>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</si>
  <si>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</si>
  <si>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</si>
  <si>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</si>
  <si>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</si>
  <si>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</si>
  <si>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</si>
  <si>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</si>
  <si>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</si>
  <si>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</si>
  <si>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</si>
  <si>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</si>
  <si>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</si>
  <si>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</si>
  <si>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</si>
  <si>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</si>
  <si>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</si>
  <si>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</si>
  <si>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</si>
  <si>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</si>
  <si>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</si>
  <si>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</si>
  <si>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</si>
  <si>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</si>
  <si>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</si>
  <si>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</si>
  <si>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</si>
  <si>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</si>
  <si>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</si>
  <si>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</si>
  <si>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</si>
  <si>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</si>
  <si>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</si>
  <si>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</si>
  <si>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</si>
  <si>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</si>
  <si>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</si>
  <si>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</si>
  <si>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</si>
  <si>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</si>
  <si>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</si>
  <si>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</si>
  <si>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</si>
  <si>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</si>
  <si>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</si>
  <si>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</si>
  <si>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</si>
  <si>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</si>
  <si>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</si>
  <si>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</si>
  <si>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</si>
  <si>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</si>
  <si>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</si>
  <si>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</si>
  <si>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</si>
  <si>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</si>
  <si>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</si>
  <si>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</si>
  <si>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</si>
  <si>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</si>
  <si>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</si>
  <si>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</si>
  <si>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</si>
  <si>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</si>
  <si>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</si>
  <si>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</si>
  <si>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</si>
  <si>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</si>
  <si>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</si>
  <si>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</si>
  <si>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</si>
  <si>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</si>
  <si>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</si>
  <si>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</si>
  <si>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</si>
  <si>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</si>
  <si>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</si>
  <si>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'requires improvement'),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</si>
  <si>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</si>
  <si>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</si>
  <si>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</si>
  <si>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</si>
  <si>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</si>
  <si>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</si>
  <si>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</si>
  <si>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</si>
  <si>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</si>
  <si>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</si>
  <si>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</si>
  <si>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</si>
  <si>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</si>
  <si>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</si>
  <si>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</si>
  <si>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</si>
  <si>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</si>
  <si>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</si>
  <si>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</si>
  <si>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</si>
  <si>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</si>
  <si>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</si>
  <si>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</si>
  <si>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</si>
  <si>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</si>
  <si>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</si>
  <si>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</si>
  <si>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</si>
  <si>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</si>
  <si>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</si>
  <si>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</si>
  <si>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</si>
  <si>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</si>
  <si>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</si>
  <si>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</si>
  <si>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</si>
  <si>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</si>
  <si>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</si>
  <si>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</si>
  <si>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</si>
  <si>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</si>
  <si>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</si>
  <si>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</si>
  <si>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</si>
  <si>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</si>
  <si>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</si>
  <si>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</si>
  <si>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nan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</si>
  <si>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</si>
  <si>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</si>
  <si>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</si>
  <si>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</si>
  <si>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</si>
  <si>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</si>
  <si>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</si>
  <si>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</si>
  <si>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</si>
  <si>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</si>
  <si>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</si>
  <si>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</si>
  <si>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</si>
  <si>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</si>
  <si>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</si>
  <si>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</si>
  <si>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</si>
  <si>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</si>
  <si>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</si>
  <si>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</si>
  <si>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</si>
  <si>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</si>
  <si>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</si>
  <si>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</si>
  <si>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</si>
  <si>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</si>
  <si>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</si>
  <si>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</si>
  <si>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</si>
  <si>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</si>
  <si>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</si>
  <si>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</si>
  <si>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</si>
  <si>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</si>
  <si>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</si>
  <si>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</si>
  <si>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</si>
  <si>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</si>
  <si>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</si>
  <si>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</si>
  <si>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</si>
  <si>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</si>
  <si>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</si>
  <si>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</si>
  <si>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</si>
  <si>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</si>
  <si>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</si>
  <si>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</si>
  <si>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</si>
  <si>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</si>
  <si>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</si>
  <si>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</si>
  <si>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</si>
  <si>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</si>
  <si>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</si>
  <si>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</si>
  <si>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</si>
  <si>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</si>
  <si>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</si>
  <si>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</si>
  <si>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</si>
  <si>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</si>
  <si>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</si>
  <si>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</si>
  <si>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</si>
  <si>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</si>
  <si>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</si>
  <si>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</si>
  <si>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</si>
  <si>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</si>
  <si>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</si>
  <si>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</si>
  <si>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</si>
  <si>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</si>
  <si>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</si>
  <si>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</si>
  <si>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</si>
  <si>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</si>
  <si>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</si>
  <si>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</si>
  <si>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</si>
  <si>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</si>
  <si>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</si>
  <si>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</si>
  <si>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</si>
  <si>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</si>
  <si>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</si>
  <si>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</si>
  <si>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</si>
  <si>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</si>
  <si>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</si>
  <si>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</si>
  <si>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</si>
  <si>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</si>
  <si>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</si>
  <si>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</si>
  <si>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</si>
  <si>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</si>
  <si>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</si>
  <si>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</si>
  <si>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</si>
  <si>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</si>
  <si>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</si>
  <si>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</si>
  <si>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</si>
  <si>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</si>
  <si>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</si>
  <si>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</si>
  <si>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</si>
  <si>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</si>
  <si>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</si>
  <si>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</si>
  <si>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</si>
  <si>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</si>
  <si>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</si>
  <si>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</si>
  <si>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</si>
  <si>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</si>
  <si>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</si>
  <si>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</si>
  <si>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</si>
  <si>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</si>
  <si>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</si>
  <si>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</si>
  <si>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</si>
  <si>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</si>
  <si>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</si>
  <si>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</si>
  <si>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</si>
  <si>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</si>
  <si>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</si>
  <si>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</si>
  <si>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</si>
  <si>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</si>
  <si>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</si>
  <si>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</si>
  <si>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</si>
  <si>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</si>
  <si>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</si>
  <si>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</si>
  <si>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</si>
  <si>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</si>
  <si>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</si>
  <si>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</si>
  <si>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</si>
  <si>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</si>
  <si>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</si>
  <si>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</si>
  <si>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</si>
  <si>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</si>
  <si>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</si>
  <si>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</si>
  <si>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</si>
  <si>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</si>
  <si>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</si>
  <si>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</si>
  <si>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</si>
  <si>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</si>
  <si>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</si>
  <si>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</si>
  <si>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</si>
  <si>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</si>
  <si>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</si>
  <si>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</si>
  <si>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</si>
  <si>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</si>
  <si>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</si>
  <si>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</si>
  <si>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</si>
  <si>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</si>
  <si>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</si>
  <si>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</si>
  <si>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</si>
  <si>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</si>
  <si>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</si>
  <si>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</si>
  <si>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</si>
  <si>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</si>
  <si>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</si>
  <si>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</si>
  <si>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</si>
  <si>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</si>
  <si>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</si>
  <si>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</si>
  <si>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</si>
  <si>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</si>
  <si>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</si>
  <si>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</si>
  <si>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</si>
  <si>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</si>
  <si>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</si>
  <si>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</si>
  <si>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</si>
  <si>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</si>
  <si>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</si>
  <si>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</si>
  <si>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</si>
  <si>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</si>
  <si>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</si>
  <si>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</si>
  <si>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</si>
  <si>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</si>
  <si>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</si>
  <si>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</si>
  <si>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</si>
  <si>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</si>
  <si>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</si>
  <si>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</si>
  <si>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</si>
  <si>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</si>
  <si>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</si>
  <si>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</si>
  <si>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</si>
  <si>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</si>
  <si>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</si>
  <si>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</si>
  <si>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</si>
  <si>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</si>
  <si>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</si>
  <si>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</si>
  <si>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</si>
  <si>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</si>
  <si>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</si>
  <si>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</si>
  <si>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</si>
  <si>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</si>
  <si>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</si>
  <si>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</si>
  <si>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</si>
  <si>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</si>
  <si>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</si>
  <si>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</si>
  <si>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</si>
  <si>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</si>
  <si>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</si>
  <si>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</si>
  <si>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</si>
  <si>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</si>
  <si>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</si>
  <si>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</si>
  <si>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</si>
  <si>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</si>
  <si>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</si>
  <si>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</si>
  <si>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</si>
  <si>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</si>
  <si>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</si>
  <si>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</si>
  <si>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</si>
  <si>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</si>
  <si>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</si>
  <si>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</si>
  <si>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</si>
  <si>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</si>
  <si>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</si>
  <si>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</si>
  <si>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</si>
  <si>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</si>
  <si>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</si>
  <si>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</si>
  <si>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</si>
  <si>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</si>
  <si>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</si>
  <si>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</si>
  <si>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</si>
  <si>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</si>
  <si>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</si>
  <si>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</si>
  <si>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</si>
  <si>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</si>
  <si>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</si>
  <si>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</si>
  <si>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</si>
  <si>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</si>
  <si>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</si>
  <si>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</si>
  <si>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</si>
  <si>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</si>
  <si>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</si>
  <si>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</si>
  <si>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</si>
  <si>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</si>
  <si>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</si>
  <si>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</si>
  <si>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</si>
  <si>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</si>
  <si>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</si>
  <si>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</si>
  <si>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</si>
  <si>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</si>
  <si>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</si>
  <si>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</si>
  <si>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</si>
  <si>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</si>
  <si>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</si>
  <si>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</si>
  <si>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</si>
  <si>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</si>
  <si>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</si>
  <si>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</si>
  <si>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</si>
  <si>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</si>
  <si>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</si>
  <si>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</si>
  <si>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</si>
  <si>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</si>
  <si>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</si>
  <si>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</si>
  <si>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</si>
  <si>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</si>
  <si>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</si>
  <si>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</si>
  <si>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</si>
  <si>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</si>
  <si>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</si>
  <si>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nan), (883, 'outstanding'), (891, 'good'), (813, 'outstanding'), (887, 'good'), (384, 'good')]</t>
  </si>
  <si>
    <t>north northamptonshire</t>
  </si>
  <si>
    <t>https://files.ofsted.gov.uk/v1/file/50200024</t>
  </si>
  <si>
    <t>03/10/2022</t>
  </si>
  <si>
    <t>14/10/2022</t>
  </si>
  <si>
    <t>25/11/22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</si>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</sst>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1409</v>
      </c>
      <c r="B1" s="1" t="s">
        <v>1410</v>
      </c>
      <c r="C1" s="1" t="s">
        <v>1411</v>
      </c>
      <c r="D1" s="1" t="s">
        <v>1412</v>
      </c>
      <c r="E1" s="1" t="s">
        <v>1413</v>
      </c>
      <c r="F1" s="1" t="s">
        <v>1414</v>
      </c>
      <c r="G1" s="1" t="s">
        <v>1415</v>
      </c>
      <c r="H1" s="1" t="s">
        <v>1416</v>
      </c>
      <c r="I1" s="1" t="s">
        <v>1417</v>
      </c>
      <c r="J1" s="1" t="s">
        <v>1418</v>
      </c>
      <c r="K1" s="1" t="s">
        <v>1419</v>
      </c>
      <c r="L1" s="1" t="s">
        <v>1420</v>
      </c>
      <c r="M1" s="1" t="s">
        <v>1421</v>
      </c>
      <c r="N1" s="1" t="s">
        <v>1422</v>
      </c>
      <c r="O1" s="1" t="s">
        <v>1423</v>
      </c>
      <c r="P1" s="1" t="s">
        <v>1424</v>
      </c>
      <c r="Q1" s="1" t="s">
        <v>1425</v>
      </c>
      <c r="R1" s="1" t="s">
        <v>1426</v>
      </c>
      <c r="S1" s="1" t="s">
        <v>1427</v>
      </c>
      <c r="T1" s="1" t="s">
        <v>1428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78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87</v>
      </c>
      <c r="B9" t="s">
        <v>88</v>
      </c>
      <c r="C9" t="s">
        <v>18</v>
      </c>
      <c r="D9" t="s">
        <v>89</v>
      </c>
      <c r="E9" t="s">
        <v>90</v>
      </c>
      <c r="F9" t="s">
        <v>91</v>
      </c>
      <c r="G9" t="s">
        <v>92</v>
      </c>
      <c r="H9" s="2" t="s">
        <v>93</v>
      </c>
      <c r="I9" t="s">
        <v>8</v>
      </c>
      <c r="J9" t="s">
        <v>48</v>
      </c>
      <c r="K9" t="s">
        <v>49</v>
      </c>
      <c r="L9" t="s">
        <v>94</v>
      </c>
      <c r="M9" t="s">
        <v>95</v>
      </c>
      <c r="N9" t="s">
        <v>96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97</v>
      </c>
      <c r="B10" t="s">
        <v>98</v>
      </c>
      <c r="C10" t="s">
        <v>99</v>
      </c>
      <c r="D10" t="s">
        <v>100</v>
      </c>
      <c r="E10" t="s">
        <v>101</v>
      </c>
      <c r="F10" t="s">
        <v>102</v>
      </c>
      <c r="G10" t="s">
        <v>103</v>
      </c>
      <c r="H10" s="2" t="s">
        <v>104</v>
      </c>
      <c r="I10" t="s">
        <v>105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105</v>
      </c>
      <c r="Q10" t="s">
        <v>105</v>
      </c>
      <c r="R10" t="s">
        <v>105</v>
      </c>
      <c r="S10" t="s">
        <v>105</v>
      </c>
      <c r="T10" t="s">
        <v>53</v>
      </c>
    </row>
    <row r="11" spans="1:20">
      <c r="A11" t="s">
        <v>110</v>
      </c>
      <c r="B11" t="s">
        <v>111</v>
      </c>
      <c r="C11" t="s">
        <v>99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105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105</v>
      </c>
      <c r="Q11" t="s">
        <v>8</v>
      </c>
      <c r="R11" t="s">
        <v>105</v>
      </c>
      <c r="S11" t="s">
        <v>105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99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143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106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86</v>
      </c>
      <c r="L16" t="s">
        <v>171</v>
      </c>
      <c r="M16" t="s">
        <v>172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194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28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14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78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105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105</v>
      </c>
      <c r="Q21" t="s">
        <v>8</v>
      </c>
      <c r="R21" t="s">
        <v>105</v>
      </c>
      <c r="S21" t="s">
        <v>105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105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105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105</v>
      </c>
      <c r="Q23" t="s">
        <v>105</v>
      </c>
      <c r="R23" t="s">
        <v>105</v>
      </c>
      <c r="S23" t="s">
        <v>105</v>
      </c>
      <c r="T23" t="s">
        <v>53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105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190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105</v>
      </c>
      <c r="J26" t="s">
        <v>9</v>
      </c>
      <c r="K26" t="s">
        <v>279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105</v>
      </c>
      <c r="Q26" t="s">
        <v>8</v>
      </c>
      <c r="R26" t="s">
        <v>105</v>
      </c>
      <c r="S26" t="s">
        <v>105</v>
      </c>
      <c r="T26" t="s">
        <v>15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86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105</v>
      </c>
      <c r="J28" t="s">
        <v>9</v>
      </c>
      <c r="K28" t="s">
        <v>62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105</v>
      </c>
      <c r="Q28" t="s">
        <v>8</v>
      </c>
      <c r="R28" t="s">
        <v>105</v>
      </c>
      <c r="S28" t="s">
        <v>105</v>
      </c>
      <c r="T28" t="s">
        <v>15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105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105</v>
      </c>
      <c r="Q29" t="s">
        <v>105</v>
      </c>
      <c r="R29" t="s">
        <v>105</v>
      </c>
      <c r="S29" t="s">
        <v>105</v>
      </c>
      <c r="T29" t="s">
        <v>78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190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213</v>
      </c>
      <c r="L32" t="s">
        <v>344</v>
      </c>
      <c r="M32" t="s">
        <v>345</v>
      </c>
      <c r="N32" t="s">
        <v>346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78</v>
      </c>
    </row>
    <row r="33" spans="1:20">
      <c r="A33" t="s">
        <v>347</v>
      </c>
      <c r="B33" t="s">
        <v>348</v>
      </c>
      <c r="C33" t="s">
        <v>18</v>
      </c>
      <c r="D33" t="s">
        <v>349</v>
      </c>
      <c r="E33" t="s">
        <v>350</v>
      </c>
      <c r="F33" t="s">
        <v>351</v>
      </c>
      <c r="G33" t="s">
        <v>352</v>
      </c>
      <c r="H33" s="2" t="s">
        <v>353</v>
      </c>
      <c r="I33" t="s">
        <v>105</v>
      </c>
      <c r="J33" t="s">
        <v>9</v>
      </c>
      <c r="K33" t="s">
        <v>258</v>
      </c>
      <c r="L33" t="s">
        <v>354</v>
      </c>
      <c r="M33" t="s">
        <v>355</v>
      </c>
      <c r="N33" t="s">
        <v>356</v>
      </c>
      <c r="O33" s="3">
        <f>HYPERLINK(".\.\export_data\inspection_reports\2532283_dorset", ".\export_data\inspection_reports\2532283_dorset")</f>
        <v>0</v>
      </c>
      <c r="P33" t="s">
        <v>105</v>
      </c>
      <c r="Q33" t="s">
        <v>105</v>
      </c>
      <c r="R33" t="s">
        <v>105</v>
      </c>
      <c r="S33" t="s">
        <v>8</v>
      </c>
      <c r="T33" t="s">
        <v>53</v>
      </c>
    </row>
    <row r="34" spans="1:20">
      <c r="A34" t="s">
        <v>357</v>
      </c>
      <c r="B34" t="s">
        <v>358</v>
      </c>
      <c r="C34" t="s">
        <v>42</v>
      </c>
      <c r="D34" t="s">
        <v>359</v>
      </c>
      <c r="E34" t="s">
        <v>360</v>
      </c>
      <c r="F34" t="s">
        <v>361</v>
      </c>
      <c r="G34" t="s">
        <v>362</v>
      </c>
      <c r="H34" s="2" t="s">
        <v>363</v>
      </c>
      <c r="I34" t="s">
        <v>14</v>
      </c>
      <c r="J34" t="s">
        <v>48</v>
      </c>
      <c r="K34" t="s">
        <v>49</v>
      </c>
      <c r="L34" t="s">
        <v>364</v>
      </c>
      <c r="M34" t="s">
        <v>365</v>
      </c>
      <c r="N34" t="s">
        <v>366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367</v>
      </c>
      <c r="B35" t="s">
        <v>368</v>
      </c>
      <c r="C35" t="s">
        <v>295</v>
      </c>
      <c r="D35" t="s">
        <v>369</v>
      </c>
      <c r="E35" t="s">
        <v>370</v>
      </c>
      <c r="F35" t="s">
        <v>371</v>
      </c>
      <c r="G35" t="s">
        <v>372</v>
      </c>
      <c r="H35" s="2" t="s">
        <v>373</v>
      </c>
      <c r="I35" t="s">
        <v>105</v>
      </c>
      <c r="J35" t="s">
        <v>9</v>
      </c>
      <c r="K35" t="s">
        <v>374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105</v>
      </c>
      <c r="Q35" t="s">
        <v>8</v>
      </c>
      <c r="R35" t="s">
        <v>105</v>
      </c>
      <c r="S35" t="s">
        <v>105</v>
      </c>
      <c r="T35" t="s">
        <v>53</v>
      </c>
    </row>
    <row r="36" spans="1:20">
      <c r="A36" t="s">
        <v>375</v>
      </c>
      <c r="B36" t="s">
        <v>376</v>
      </c>
      <c r="C36" t="s">
        <v>2</v>
      </c>
      <c r="D36" t="s">
        <v>377</v>
      </c>
      <c r="E36" t="s">
        <v>378</v>
      </c>
      <c r="F36" t="s">
        <v>379</v>
      </c>
      <c r="G36" t="s">
        <v>380</v>
      </c>
      <c r="H36" s="2" t="s">
        <v>381</v>
      </c>
      <c r="I36" t="s">
        <v>8</v>
      </c>
      <c r="J36" t="s">
        <v>48</v>
      </c>
      <c r="K36" t="s">
        <v>382</v>
      </c>
      <c r="L36" t="s">
        <v>383</v>
      </c>
      <c r="M36" t="s">
        <v>384</v>
      </c>
      <c r="N36" t="s">
        <v>385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78</v>
      </c>
    </row>
    <row r="37" spans="1:20">
      <c r="A37" t="s">
        <v>386</v>
      </c>
      <c r="B37" t="s">
        <v>387</v>
      </c>
      <c r="C37" t="s">
        <v>99</v>
      </c>
      <c r="D37" t="s">
        <v>388</v>
      </c>
      <c r="E37" t="s">
        <v>389</v>
      </c>
      <c r="F37" t="s">
        <v>390</v>
      </c>
      <c r="G37" t="s">
        <v>391</v>
      </c>
      <c r="H37" s="2" t="s">
        <v>392</v>
      </c>
      <c r="I37" t="s">
        <v>8</v>
      </c>
      <c r="J37" t="s">
        <v>9</v>
      </c>
      <c r="K37" t="s">
        <v>393</v>
      </c>
      <c r="L37" t="s">
        <v>394</v>
      </c>
      <c r="M37" t="s">
        <v>395</v>
      </c>
      <c r="N37" t="s">
        <v>396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105</v>
      </c>
      <c r="S37" t="s">
        <v>8</v>
      </c>
      <c r="T37" t="s">
        <v>143</v>
      </c>
    </row>
    <row r="38" spans="1:20">
      <c r="A38" t="s">
        <v>397</v>
      </c>
      <c r="B38" t="s">
        <v>398</v>
      </c>
      <c r="C38" t="s">
        <v>31</v>
      </c>
      <c r="D38" t="s">
        <v>399</v>
      </c>
      <c r="E38" t="s">
        <v>400</v>
      </c>
      <c r="F38" t="s">
        <v>401</v>
      </c>
      <c r="G38" t="s">
        <v>402</v>
      </c>
      <c r="H38" s="2" t="s">
        <v>403</v>
      </c>
      <c r="I38" t="s">
        <v>105</v>
      </c>
      <c r="J38" t="s">
        <v>9</v>
      </c>
      <c r="K38" t="s">
        <v>404</v>
      </c>
      <c r="L38" t="s">
        <v>405</v>
      </c>
      <c r="M38" t="s">
        <v>406</v>
      </c>
      <c r="N38" t="s">
        <v>407</v>
      </c>
      <c r="O38" s="3">
        <f>HYPERLINK(".\.\export_data\inspection_reports\80468_essex", ".\export_data\inspection_reports\80468_essex")</f>
        <v>0</v>
      </c>
      <c r="P38" t="s">
        <v>105</v>
      </c>
      <c r="Q38" t="s">
        <v>105</v>
      </c>
      <c r="R38" t="s">
        <v>105</v>
      </c>
      <c r="S38" t="s">
        <v>105</v>
      </c>
      <c r="T38" t="s">
        <v>15</v>
      </c>
    </row>
    <row r="39" spans="1:20">
      <c r="A39" t="s">
        <v>408</v>
      </c>
      <c r="B39" t="s">
        <v>409</v>
      </c>
      <c r="C39" t="s">
        <v>295</v>
      </c>
      <c r="D39" t="s">
        <v>410</v>
      </c>
      <c r="E39" t="s">
        <v>411</v>
      </c>
      <c r="F39" t="s">
        <v>412</v>
      </c>
      <c r="G39" t="s">
        <v>413</v>
      </c>
      <c r="H39" s="2" t="s">
        <v>414</v>
      </c>
      <c r="I39" t="s">
        <v>8</v>
      </c>
      <c r="J39" t="s">
        <v>9</v>
      </c>
      <c r="K39" t="s">
        <v>247</v>
      </c>
      <c r="L39" t="s">
        <v>94</v>
      </c>
      <c r="M39" t="s">
        <v>415</v>
      </c>
      <c r="N39" t="s">
        <v>96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416</v>
      </c>
      <c r="B40" t="s">
        <v>417</v>
      </c>
      <c r="C40" t="s">
        <v>18</v>
      </c>
      <c r="D40" t="s">
        <v>418</v>
      </c>
      <c r="E40" t="s">
        <v>419</v>
      </c>
      <c r="F40" t="s">
        <v>420</v>
      </c>
      <c r="G40" t="s">
        <v>421</v>
      </c>
      <c r="H40" s="2" t="s">
        <v>422</v>
      </c>
      <c r="I40" t="s">
        <v>8</v>
      </c>
      <c r="J40" t="s">
        <v>48</v>
      </c>
      <c r="K40" t="s">
        <v>279</v>
      </c>
      <c r="L40" t="s">
        <v>25</v>
      </c>
      <c r="M40" t="s">
        <v>152</v>
      </c>
      <c r="N40" t="s">
        <v>423</v>
      </c>
      <c r="O40" s="3">
        <f>HYPERLINK(".\.\export_data\inspection_reports\80470_gloucestershire", ".\export_data\inspection_reports\80470_gloucestershire")</f>
        <v>0</v>
      </c>
      <c r="P40" t="s">
        <v>105</v>
      </c>
      <c r="Q40" t="s">
        <v>8</v>
      </c>
      <c r="R40" t="s">
        <v>105</v>
      </c>
      <c r="S40" t="s">
        <v>8</v>
      </c>
      <c r="T40" t="s">
        <v>15</v>
      </c>
    </row>
    <row r="41" spans="1:20">
      <c r="A41" t="s">
        <v>424</v>
      </c>
      <c r="B41" t="s">
        <v>425</v>
      </c>
      <c r="C41" t="s">
        <v>56</v>
      </c>
      <c r="D41" t="s">
        <v>426</v>
      </c>
      <c r="E41" t="s">
        <v>427</v>
      </c>
      <c r="F41" t="s">
        <v>428</v>
      </c>
      <c r="G41" t="s">
        <v>429</v>
      </c>
      <c r="H41" s="2" t="s">
        <v>430</v>
      </c>
      <c r="I41" t="s">
        <v>190</v>
      </c>
      <c r="J41" t="s">
        <v>48</v>
      </c>
      <c r="K41" t="s">
        <v>73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78</v>
      </c>
    </row>
    <row r="42" spans="1:20">
      <c r="A42" t="s">
        <v>434</v>
      </c>
      <c r="B42" t="s">
        <v>435</v>
      </c>
      <c r="C42" t="s">
        <v>99</v>
      </c>
      <c r="D42" t="s">
        <v>436</v>
      </c>
      <c r="E42" t="s">
        <v>437</v>
      </c>
      <c r="F42" t="s">
        <v>438</v>
      </c>
      <c r="G42" t="s">
        <v>439</v>
      </c>
      <c r="H42" s="2" t="s">
        <v>440</v>
      </c>
      <c r="I42" t="s">
        <v>105</v>
      </c>
      <c r="J42" t="s">
        <v>9</v>
      </c>
      <c r="K42" t="s">
        <v>404</v>
      </c>
      <c r="L42" t="s">
        <v>441</v>
      </c>
      <c r="M42" t="s">
        <v>442</v>
      </c>
      <c r="N42" t="s">
        <v>443</v>
      </c>
      <c r="O42" s="3">
        <f>HYPERLINK(".\.\export_data\inspection_reports\80472_hampshire", ".\export_data\inspection_reports\80472_hampshire")</f>
        <v>0</v>
      </c>
      <c r="P42" t="s">
        <v>105</v>
      </c>
      <c r="Q42" t="s">
        <v>105</v>
      </c>
      <c r="R42" t="s">
        <v>105</v>
      </c>
      <c r="S42" t="s">
        <v>8</v>
      </c>
      <c r="T42" t="s">
        <v>15</v>
      </c>
    </row>
    <row r="43" spans="1:20">
      <c r="A43" t="s">
        <v>444</v>
      </c>
      <c r="B43" t="s">
        <v>445</v>
      </c>
      <c r="C43" t="s">
        <v>295</v>
      </c>
      <c r="D43" t="s">
        <v>446</v>
      </c>
      <c r="E43" t="s">
        <v>447</v>
      </c>
      <c r="F43" t="s">
        <v>448</v>
      </c>
      <c r="G43" t="s">
        <v>449</v>
      </c>
      <c r="H43" s="2" t="s">
        <v>450</v>
      </c>
      <c r="I43" t="s">
        <v>105</v>
      </c>
      <c r="J43" t="s">
        <v>9</v>
      </c>
      <c r="K43" t="s">
        <v>382</v>
      </c>
      <c r="L43" t="s">
        <v>451</v>
      </c>
      <c r="M43" t="s">
        <v>452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105</v>
      </c>
      <c r="Q43" t="s">
        <v>105</v>
      </c>
      <c r="R43" t="s">
        <v>105</v>
      </c>
      <c r="S43" t="s">
        <v>8</v>
      </c>
      <c r="T43" t="s">
        <v>78</v>
      </c>
    </row>
    <row r="44" spans="1:20">
      <c r="A44" t="s">
        <v>453</v>
      </c>
      <c r="B44" t="s">
        <v>454</v>
      </c>
      <c r="C44" t="s">
        <v>42</v>
      </c>
      <c r="D44" t="s">
        <v>455</v>
      </c>
      <c r="E44" t="s">
        <v>456</v>
      </c>
      <c r="F44" t="s">
        <v>457</v>
      </c>
      <c r="G44" t="s">
        <v>458</v>
      </c>
      <c r="H44" s="2" t="s">
        <v>459</v>
      </c>
      <c r="I44" t="s">
        <v>8</v>
      </c>
      <c r="J44" t="s">
        <v>48</v>
      </c>
      <c r="K44" t="s">
        <v>151</v>
      </c>
      <c r="L44" t="s">
        <v>460</v>
      </c>
      <c r="M44" t="s">
        <v>461</v>
      </c>
      <c r="N44" t="s">
        <v>462</v>
      </c>
      <c r="O44" s="3">
        <f>HYPERLINK(".\.\export_data\inspection_reports\80474_herefordshire", ".\export_data\inspection_reports\80474_herefordshire")</f>
        <v>0</v>
      </c>
      <c r="P44" t="s">
        <v>105</v>
      </c>
      <c r="Q44" t="s">
        <v>8</v>
      </c>
      <c r="R44" t="s">
        <v>8</v>
      </c>
      <c r="S44" t="s">
        <v>8</v>
      </c>
      <c r="T44" t="s">
        <v>15</v>
      </c>
    </row>
    <row r="45" spans="1:20">
      <c r="A45" t="s">
        <v>463</v>
      </c>
      <c r="B45" t="s">
        <v>464</v>
      </c>
      <c r="C45" t="s">
        <v>31</v>
      </c>
      <c r="D45" t="s">
        <v>465</v>
      </c>
      <c r="E45" t="s">
        <v>466</v>
      </c>
      <c r="F45" t="s">
        <v>467</v>
      </c>
      <c r="G45" t="s">
        <v>468</v>
      </c>
      <c r="H45" s="2" t="s">
        <v>469</v>
      </c>
      <c r="I45" t="s">
        <v>105</v>
      </c>
      <c r="J45" t="s">
        <v>9</v>
      </c>
      <c r="K45" t="s">
        <v>258</v>
      </c>
      <c r="L45" t="s">
        <v>470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105</v>
      </c>
      <c r="Q45" t="s">
        <v>8</v>
      </c>
      <c r="R45" t="s">
        <v>105</v>
      </c>
      <c r="S45" t="s">
        <v>8</v>
      </c>
      <c r="T45" t="s">
        <v>53</v>
      </c>
    </row>
    <row r="46" spans="1:20">
      <c r="A46" t="s">
        <v>471</v>
      </c>
      <c r="B46" t="s">
        <v>472</v>
      </c>
      <c r="C46" t="s">
        <v>99</v>
      </c>
      <c r="D46" t="s">
        <v>473</v>
      </c>
      <c r="E46" t="s">
        <v>474</v>
      </c>
      <c r="F46" t="s">
        <v>475</v>
      </c>
      <c r="G46" t="s">
        <v>476</v>
      </c>
      <c r="H46" s="2" t="s">
        <v>477</v>
      </c>
      <c r="I46" t="s">
        <v>8</v>
      </c>
      <c r="J46" t="s">
        <v>9</v>
      </c>
      <c r="K46" t="s">
        <v>24</v>
      </c>
      <c r="L46" t="s">
        <v>323</v>
      </c>
      <c r="M46" t="s">
        <v>478</v>
      </c>
      <c r="N46" t="s">
        <v>479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480</v>
      </c>
      <c r="B47" t="s">
        <v>481</v>
      </c>
      <c r="C47" t="s">
        <v>99</v>
      </c>
      <c r="D47" t="s">
        <v>482</v>
      </c>
      <c r="E47" t="s">
        <v>483</v>
      </c>
      <c r="F47" t="s">
        <v>484</v>
      </c>
      <c r="G47" t="s">
        <v>485</v>
      </c>
      <c r="H47" s="2" t="s">
        <v>486</v>
      </c>
      <c r="I47" t="s">
        <v>8</v>
      </c>
      <c r="J47" t="s">
        <v>9</v>
      </c>
      <c r="K47" t="s">
        <v>487</v>
      </c>
      <c r="L47" t="s">
        <v>488</v>
      </c>
      <c r="M47" t="s">
        <v>489</v>
      </c>
      <c r="N47" t="s">
        <v>490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105</v>
      </c>
      <c r="S47" t="s">
        <v>14</v>
      </c>
      <c r="T47" t="s">
        <v>194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247</v>
      </c>
      <c r="L48" t="s">
        <v>498</v>
      </c>
      <c r="M48" t="s">
        <v>281</v>
      </c>
      <c r="N48" t="s">
        <v>282</v>
      </c>
      <c r="O48" s="3">
        <f>HYPERLINK(".\.\export_data\inspection_reports\80477_kingston upon hull", ".\export_data\inspection_reports\80477_kingston upon hull")</f>
        <v>0</v>
      </c>
      <c r="P48" t="s">
        <v>105</v>
      </c>
      <c r="Q48" t="s">
        <v>8</v>
      </c>
      <c r="R48" t="s">
        <v>8</v>
      </c>
      <c r="S48" t="s">
        <v>105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258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105</v>
      </c>
      <c r="J52" t="s">
        <v>9</v>
      </c>
      <c r="K52" t="s">
        <v>213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105</v>
      </c>
      <c r="Q52" t="s">
        <v>8</v>
      </c>
      <c r="R52" t="s">
        <v>105</v>
      </c>
      <c r="S52" t="s">
        <v>105</v>
      </c>
      <c r="T52" t="s">
        <v>78</v>
      </c>
    </row>
    <row r="53" spans="1:20">
      <c r="A53" t="s">
        <v>539</v>
      </c>
      <c r="B53" t="s">
        <v>540</v>
      </c>
      <c r="C53" t="s">
        <v>306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393</v>
      </c>
      <c r="L53" t="s">
        <v>226</v>
      </c>
      <c r="M53" t="s">
        <v>227</v>
      </c>
      <c r="N53" t="s">
        <v>96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143</v>
      </c>
    </row>
    <row r="54" spans="1:20">
      <c r="A54" t="s">
        <v>546</v>
      </c>
      <c r="B54" t="s">
        <v>547</v>
      </c>
      <c r="C54" t="s">
        <v>306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105</v>
      </c>
      <c r="J54" t="s">
        <v>48</v>
      </c>
      <c r="K54" t="s">
        <v>374</v>
      </c>
      <c r="L54" t="s">
        <v>553</v>
      </c>
      <c r="M54" t="s">
        <v>554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105</v>
      </c>
      <c r="Q54" t="s">
        <v>8</v>
      </c>
      <c r="R54" t="s">
        <v>105</v>
      </c>
      <c r="S54" t="s">
        <v>105</v>
      </c>
      <c r="T54" t="s">
        <v>53</v>
      </c>
    </row>
    <row r="55" spans="1:20">
      <c r="A55" t="s">
        <v>555</v>
      </c>
      <c r="B55" t="s">
        <v>556</v>
      </c>
      <c r="C55" t="s">
        <v>306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105</v>
      </c>
      <c r="J55" t="s">
        <v>9</v>
      </c>
      <c r="K55" t="s">
        <v>312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105</v>
      </c>
      <c r="Q55" t="s">
        <v>105</v>
      </c>
      <c r="R55" t="s">
        <v>105</v>
      </c>
      <c r="S55" t="s">
        <v>8</v>
      </c>
      <c r="T55" t="s">
        <v>78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190</v>
      </c>
      <c r="J56" t="s">
        <v>48</v>
      </c>
      <c r="K56" t="s">
        <v>73</v>
      </c>
      <c r="L56" t="s">
        <v>572</v>
      </c>
      <c r="M56" t="s">
        <v>573</v>
      </c>
      <c r="N56" t="s">
        <v>574</v>
      </c>
      <c r="O56" s="3">
        <f>HYPERLINK(".\.\export_data\inspection_reports\80485_liverpool", ".\export_data\inspection_reports\80485_liverpool")</f>
        <v>0</v>
      </c>
      <c r="P56" t="s">
        <v>190</v>
      </c>
      <c r="Q56" t="s">
        <v>190</v>
      </c>
      <c r="R56" t="s">
        <v>14</v>
      </c>
      <c r="S56" t="s">
        <v>190</v>
      </c>
      <c r="T56" t="s">
        <v>78</v>
      </c>
    </row>
    <row r="57" spans="1:20">
      <c r="A57" t="s">
        <v>575</v>
      </c>
      <c r="B57" t="s">
        <v>576</v>
      </c>
      <c r="C57" t="s">
        <v>219</v>
      </c>
      <c r="D57" t="s">
        <v>577</v>
      </c>
      <c r="E57" t="s">
        <v>578</v>
      </c>
      <c r="F57" t="s">
        <v>579</v>
      </c>
      <c r="G57" t="s">
        <v>580</v>
      </c>
      <c r="H57" s="2" t="s">
        <v>581</v>
      </c>
      <c r="I57" t="s">
        <v>14</v>
      </c>
      <c r="J57" t="s">
        <v>48</v>
      </c>
      <c r="K57" t="s">
        <v>106</v>
      </c>
      <c r="L57" t="s">
        <v>582</v>
      </c>
      <c r="M57" t="s">
        <v>583</v>
      </c>
      <c r="N57" t="s">
        <v>584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585</v>
      </c>
      <c r="B58" t="s">
        <v>586</v>
      </c>
      <c r="C58" t="s">
        <v>219</v>
      </c>
      <c r="D58" t="s">
        <v>587</v>
      </c>
      <c r="E58" t="s">
        <v>588</v>
      </c>
      <c r="F58" t="s">
        <v>589</v>
      </c>
      <c r="G58" t="s">
        <v>590</v>
      </c>
      <c r="H58" s="2" t="s">
        <v>591</v>
      </c>
      <c r="I58" t="s">
        <v>8</v>
      </c>
      <c r="J58" t="s">
        <v>9</v>
      </c>
      <c r="K58" t="s">
        <v>106</v>
      </c>
      <c r="L58" t="s">
        <v>441</v>
      </c>
      <c r="M58" t="s">
        <v>442</v>
      </c>
      <c r="N58" t="s">
        <v>443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105</v>
      </c>
      <c r="S58" t="s">
        <v>8</v>
      </c>
      <c r="T58" t="s">
        <v>53</v>
      </c>
    </row>
    <row r="59" spans="1:20">
      <c r="A59" t="s">
        <v>592</v>
      </c>
      <c r="B59" t="s">
        <v>593</v>
      </c>
      <c r="C59" t="s">
        <v>219</v>
      </c>
      <c r="D59" t="s">
        <v>594</v>
      </c>
      <c r="E59" t="s">
        <v>595</v>
      </c>
      <c r="F59" t="s">
        <v>596</v>
      </c>
      <c r="G59" t="s">
        <v>597</v>
      </c>
      <c r="H59" s="2" t="s">
        <v>598</v>
      </c>
      <c r="I59" t="s">
        <v>105</v>
      </c>
      <c r="J59" t="s">
        <v>9</v>
      </c>
      <c r="K59" t="s">
        <v>393</v>
      </c>
      <c r="L59" t="s">
        <v>599</v>
      </c>
      <c r="M59" t="s">
        <v>384</v>
      </c>
      <c r="N59" t="s">
        <v>385</v>
      </c>
      <c r="O59" s="3">
        <f>HYPERLINK(".\.\export_data\inspection_reports\80488_bexley", ".\export_data\inspection_reports\80488_bexley")</f>
        <v>0</v>
      </c>
      <c r="P59" t="s">
        <v>105</v>
      </c>
      <c r="Q59" t="s">
        <v>8</v>
      </c>
      <c r="R59" t="s">
        <v>8</v>
      </c>
      <c r="S59" t="s">
        <v>105</v>
      </c>
      <c r="T59" t="s">
        <v>143</v>
      </c>
    </row>
    <row r="60" spans="1:20">
      <c r="A60" t="s">
        <v>600</v>
      </c>
      <c r="B60" t="s">
        <v>601</v>
      </c>
      <c r="C60" t="s">
        <v>219</v>
      </c>
      <c r="D60" t="s">
        <v>602</v>
      </c>
      <c r="E60" t="s">
        <v>603</v>
      </c>
      <c r="F60" t="s">
        <v>604</v>
      </c>
      <c r="G60" t="s">
        <v>605</v>
      </c>
      <c r="H60" s="2" t="s">
        <v>606</v>
      </c>
      <c r="I60" t="s">
        <v>607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105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105</v>
      </c>
      <c r="Q61" t="s">
        <v>105</v>
      </c>
      <c r="R61" t="s">
        <v>105</v>
      </c>
      <c r="S61" t="s">
        <v>105</v>
      </c>
      <c r="T61" t="s">
        <v>53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105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105</v>
      </c>
      <c r="Q62" t="s">
        <v>105</v>
      </c>
      <c r="R62" t="s">
        <v>105</v>
      </c>
      <c r="S62" t="s">
        <v>105</v>
      </c>
      <c r="T62" t="s">
        <v>53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393</v>
      </c>
      <c r="L64" t="s">
        <v>553</v>
      </c>
      <c r="M64" t="s">
        <v>554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143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105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105</v>
      </c>
      <c r="J66" t="s">
        <v>9</v>
      </c>
      <c r="K66" t="s">
        <v>393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105</v>
      </c>
      <c r="Q66" t="s">
        <v>8</v>
      </c>
      <c r="R66" t="s">
        <v>105</v>
      </c>
      <c r="S66" t="s">
        <v>105</v>
      </c>
      <c r="T66" t="s">
        <v>143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78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105</v>
      </c>
      <c r="J68" t="s">
        <v>9</v>
      </c>
      <c r="K68" t="s">
        <v>225</v>
      </c>
      <c r="L68" t="s">
        <v>682</v>
      </c>
      <c r="M68" t="s">
        <v>172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105</v>
      </c>
      <c r="Q68" t="s">
        <v>8</v>
      </c>
      <c r="R68" t="s">
        <v>105</v>
      </c>
      <c r="S68" t="s">
        <v>105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105</v>
      </c>
      <c r="J69" t="s">
        <v>9</v>
      </c>
      <c r="K69" t="s">
        <v>225</v>
      </c>
      <c r="L69" t="s">
        <v>214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105</v>
      </c>
      <c r="Q69" t="s">
        <v>8</v>
      </c>
      <c r="R69" t="s">
        <v>8</v>
      </c>
      <c r="S69" t="s">
        <v>105</v>
      </c>
      <c r="T69" t="s">
        <v>229</v>
      </c>
    </row>
    <row r="70" spans="1:20">
      <c r="A70" t="s">
        <v>692</v>
      </c>
      <c r="B70" t="s">
        <v>693</v>
      </c>
      <c r="C70" t="s">
        <v>219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344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219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394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219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105</v>
      </c>
      <c r="J72" t="s">
        <v>9</v>
      </c>
      <c r="K72" t="s">
        <v>225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105</v>
      </c>
      <c r="Q72" t="s">
        <v>8</v>
      </c>
      <c r="R72" t="s">
        <v>105</v>
      </c>
      <c r="S72" t="s">
        <v>8</v>
      </c>
      <c r="T72" t="s">
        <v>229</v>
      </c>
    </row>
    <row r="73" spans="1:20">
      <c r="A73" t="s">
        <v>720</v>
      </c>
      <c r="B73" t="s">
        <v>721</v>
      </c>
      <c r="C73" t="s">
        <v>219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139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105</v>
      </c>
      <c r="Q73" t="s">
        <v>8</v>
      </c>
      <c r="R73" t="s">
        <v>8</v>
      </c>
      <c r="S73" t="s">
        <v>8</v>
      </c>
      <c r="T73" t="s">
        <v>143</v>
      </c>
    </row>
    <row r="74" spans="1:20">
      <c r="A74" t="s">
        <v>730</v>
      </c>
      <c r="B74" t="s">
        <v>731</v>
      </c>
      <c r="C74" t="s">
        <v>219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105</v>
      </c>
      <c r="J74" t="s">
        <v>9</v>
      </c>
      <c r="K74" t="s">
        <v>258</v>
      </c>
      <c r="L74" t="s">
        <v>94</v>
      </c>
      <c r="M74" t="s">
        <v>415</v>
      </c>
      <c r="N74" t="s">
        <v>96</v>
      </c>
      <c r="O74" s="3">
        <f>HYPERLINK(".\.\export_data\inspection_reports\80505_islington", ".\export_data\inspection_reports\80505_islington")</f>
        <v>0</v>
      </c>
      <c r="P74" t="s">
        <v>105</v>
      </c>
      <c r="Q74" t="s">
        <v>105</v>
      </c>
      <c r="R74" t="s">
        <v>105</v>
      </c>
      <c r="S74" t="s">
        <v>105</v>
      </c>
      <c r="T74" t="s">
        <v>53</v>
      </c>
    </row>
    <row r="75" spans="1:20">
      <c r="A75" t="s">
        <v>737</v>
      </c>
      <c r="B75" t="s">
        <v>738</v>
      </c>
      <c r="C75" t="s">
        <v>219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214</v>
      </c>
      <c r="M75" t="s">
        <v>215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105</v>
      </c>
      <c r="T75" t="s">
        <v>78</v>
      </c>
    </row>
    <row r="76" spans="1:20">
      <c r="A76" t="s">
        <v>746</v>
      </c>
      <c r="B76" t="s">
        <v>747</v>
      </c>
      <c r="C76" t="s">
        <v>219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395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78</v>
      </c>
    </row>
    <row r="77" spans="1:20">
      <c r="A77" t="s">
        <v>756</v>
      </c>
      <c r="B77" t="s">
        <v>757</v>
      </c>
      <c r="C77" t="s">
        <v>219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105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105</v>
      </c>
      <c r="Q77" t="s">
        <v>8</v>
      </c>
      <c r="R77" t="s">
        <v>105</v>
      </c>
      <c r="S77" t="s">
        <v>105</v>
      </c>
      <c r="T77" t="s">
        <v>53</v>
      </c>
    </row>
    <row r="78" spans="1:20">
      <c r="A78" t="s">
        <v>763</v>
      </c>
      <c r="B78" t="s">
        <v>764</v>
      </c>
      <c r="C78" t="s">
        <v>219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105</v>
      </c>
      <c r="J78" t="s">
        <v>9</v>
      </c>
      <c r="K78" t="s">
        <v>374</v>
      </c>
      <c r="L78" t="s">
        <v>460</v>
      </c>
      <c r="M78" t="s">
        <v>770</v>
      </c>
      <c r="N78" t="s">
        <v>462</v>
      </c>
      <c r="O78" s="3">
        <f>HYPERLINK(".\.\export_data\inspection_reports\80511_newham", ".\export_data\inspection_reports\80511_newham")</f>
        <v>0</v>
      </c>
      <c r="P78" t="s">
        <v>105</v>
      </c>
      <c r="Q78" t="s">
        <v>105</v>
      </c>
      <c r="R78" t="s">
        <v>105</v>
      </c>
      <c r="S78" t="s">
        <v>105</v>
      </c>
      <c r="T78" t="s">
        <v>53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105</v>
      </c>
      <c r="J79" t="s">
        <v>9</v>
      </c>
      <c r="K79" t="s">
        <v>778</v>
      </c>
      <c r="L79" t="s">
        <v>441</v>
      </c>
      <c r="M79" t="s">
        <v>442</v>
      </c>
      <c r="N79" t="s">
        <v>443</v>
      </c>
      <c r="O79" s="3">
        <f>HYPERLINK(".\.\export_data\inspection_reports\80512_redbridge", ".\export_data\inspection_reports\80512_redbridge")</f>
        <v>0</v>
      </c>
      <c r="P79" t="s">
        <v>105</v>
      </c>
      <c r="Q79" t="s">
        <v>105</v>
      </c>
      <c r="R79" t="s">
        <v>105</v>
      </c>
      <c r="S79" t="s">
        <v>105</v>
      </c>
      <c r="T79" t="s">
        <v>194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105</v>
      </c>
      <c r="J80" t="s">
        <v>9</v>
      </c>
      <c r="K80" t="s">
        <v>139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105</v>
      </c>
      <c r="Q80" t="s">
        <v>8</v>
      </c>
      <c r="R80" t="s">
        <v>105</v>
      </c>
      <c r="S80" t="s">
        <v>105</v>
      </c>
      <c r="T80" t="s">
        <v>143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280</v>
      </c>
      <c r="M81" t="s">
        <v>281</v>
      </c>
      <c r="N81" t="s">
        <v>282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78</v>
      </c>
    </row>
    <row r="82" spans="1:20">
      <c r="A82" t="s">
        <v>793</v>
      </c>
      <c r="B82" t="s">
        <v>794</v>
      </c>
      <c r="C82" t="s">
        <v>219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219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105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105</v>
      </c>
      <c r="Q83" t="s">
        <v>8</v>
      </c>
      <c r="R83" t="s">
        <v>8</v>
      </c>
      <c r="S83" t="s">
        <v>105</v>
      </c>
      <c r="T83" t="s">
        <v>28</v>
      </c>
    </row>
    <row r="84" spans="1:20">
      <c r="A84" t="s">
        <v>811</v>
      </c>
      <c r="B84" t="s">
        <v>812</v>
      </c>
      <c r="C84" t="s">
        <v>219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105</v>
      </c>
      <c r="S84" t="s">
        <v>8</v>
      </c>
      <c r="T84" t="s">
        <v>120</v>
      </c>
    </row>
    <row r="85" spans="1:20">
      <c r="A85" t="s">
        <v>819</v>
      </c>
      <c r="B85" t="s">
        <v>820</v>
      </c>
      <c r="C85" t="s">
        <v>219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105</v>
      </c>
      <c r="J85" t="s">
        <v>9</v>
      </c>
      <c r="K85" t="s">
        <v>608</v>
      </c>
      <c r="L85" t="s">
        <v>498</v>
      </c>
      <c r="M85" t="s">
        <v>826</v>
      </c>
      <c r="N85" t="s">
        <v>282</v>
      </c>
      <c r="O85" s="3">
        <f>HYPERLINK(".\.\export_data\inspection_reports\80518_wandsworth", ".\export_data\inspection_reports\80518_wandsworth")</f>
        <v>0</v>
      </c>
      <c r="P85" t="s">
        <v>105</v>
      </c>
      <c r="Q85" t="s">
        <v>105</v>
      </c>
      <c r="R85" t="s">
        <v>105</v>
      </c>
      <c r="S85" t="s">
        <v>105</v>
      </c>
      <c r="T85" t="s">
        <v>15</v>
      </c>
    </row>
    <row r="86" spans="1:20">
      <c r="A86" t="s">
        <v>827</v>
      </c>
      <c r="B86" t="s">
        <v>828</v>
      </c>
      <c r="C86" t="s">
        <v>219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105</v>
      </c>
      <c r="J86" t="s">
        <v>9</v>
      </c>
      <c r="K86" t="s">
        <v>106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105</v>
      </c>
      <c r="Q86" t="s">
        <v>105</v>
      </c>
      <c r="R86" t="s">
        <v>105</v>
      </c>
      <c r="S86" t="s">
        <v>105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151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105</v>
      </c>
      <c r="J88" t="s">
        <v>48</v>
      </c>
      <c r="K88" t="s">
        <v>279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105</v>
      </c>
      <c r="Q88" t="s">
        <v>8</v>
      </c>
      <c r="R88" t="s">
        <v>105</v>
      </c>
      <c r="S88" t="s">
        <v>105</v>
      </c>
      <c r="T88" t="s">
        <v>15</v>
      </c>
    </row>
    <row r="89" spans="1:20">
      <c r="A89" t="s">
        <v>853</v>
      </c>
      <c r="B89" t="s">
        <v>854</v>
      </c>
      <c r="C89" t="s">
        <v>607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295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382</v>
      </c>
      <c r="L90" t="s">
        <v>572</v>
      </c>
      <c r="M90" t="s">
        <v>573</v>
      </c>
      <c r="N90" t="s">
        <v>574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78</v>
      </c>
    </row>
    <row r="91" spans="1:20">
      <c r="A91" t="s">
        <v>870</v>
      </c>
      <c r="B91" t="s">
        <v>871</v>
      </c>
      <c r="C91" t="s">
        <v>99</v>
      </c>
      <c r="D91" t="s">
        <v>872</v>
      </c>
      <c r="E91" t="s">
        <v>873</v>
      </c>
      <c r="F91" t="s">
        <v>874</v>
      </c>
      <c r="G91" t="s">
        <v>875</v>
      </c>
      <c r="H91" s="2" t="s">
        <v>876</v>
      </c>
      <c r="I91" t="s">
        <v>8</v>
      </c>
      <c r="J91" t="s">
        <v>48</v>
      </c>
      <c r="K91" t="s">
        <v>778</v>
      </c>
      <c r="L91" t="s">
        <v>877</v>
      </c>
      <c r="M91" t="s">
        <v>878</v>
      </c>
      <c r="N91" t="s">
        <v>879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105</v>
      </c>
      <c r="T91" t="s">
        <v>194</v>
      </c>
    </row>
    <row r="92" spans="1:20">
      <c r="A92" t="s">
        <v>880</v>
      </c>
      <c r="B92" t="s">
        <v>881</v>
      </c>
      <c r="C92" t="s">
        <v>295</v>
      </c>
      <c r="D92" t="s">
        <v>882</v>
      </c>
      <c r="E92" t="s">
        <v>883</v>
      </c>
      <c r="F92" t="s">
        <v>884</v>
      </c>
      <c r="G92" t="s">
        <v>885</v>
      </c>
      <c r="H92" s="2" t="s">
        <v>886</v>
      </c>
      <c r="I92" t="s">
        <v>8</v>
      </c>
      <c r="J92" t="s">
        <v>9</v>
      </c>
      <c r="K92" t="s">
        <v>247</v>
      </c>
      <c r="L92" t="s">
        <v>887</v>
      </c>
      <c r="M92" t="s">
        <v>888</v>
      </c>
      <c r="N92" t="s">
        <v>889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105</v>
      </c>
      <c r="R92" t="s">
        <v>8</v>
      </c>
      <c r="S92" t="s">
        <v>14</v>
      </c>
      <c r="T92" t="s">
        <v>53</v>
      </c>
    </row>
    <row r="93" spans="1:20">
      <c r="A93" t="s">
        <v>890</v>
      </c>
      <c r="B93" t="s">
        <v>891</v>
      </c>
      <c r="C93" t="s">
        <v>31</v>
      </c>
      <c r="D93" t="s">
        <v>892</v>
      </c>
      <c r="E93" t="s">
        <v>893</v>
      </c>
      <c r="F93" t="s">
        <v>894</v>
      </c>
      <c r="G93" t="s">
        <v>895</v>
      </c>
      <c r="H93" s="2" t="s">
        <v>896</v>
      </c>
      <c r="I93" t="s">
        <v>105</v>
      </c>
      <c r="J93" t="s">
        <v>9</v>
      </c>
      <c r="K93" t="s">
        <v>897</v>
      </c>
      <c r="L93" t="s">
        <v>898</v>
      </c>
      <c r="M93" t="s">
        <v>899</v>
      </c>
      <c r="N93" t="s">
        <v>282</v>
      </c>
      <c r="O93" s="3">
        <f>HYPERLINK(".\.\export_data\inspection_reports\80418_norfolk", ".\export_data\inspection_reports\80418_norfolk")</f>
        <v>0</v>
      </c>
      <c r="P93" t="s">
        <v>105</v>
      </c>
      <c r="Q93" t="s">
        <v>105</v>
      </c>
      <c r="R93" t="s">
        <v>105</v>
      </c>
      <c r="S93" t="s">
        <v>105</v>
      </c>
      <c r="T93" t="s">
        <v>194</v>
      </c>
    </row>
    <row r="94" spans="1:20">
      <c r="A94" t="s">
        <v>900</v>
      </c>
      <c r="B94" t="s">
        <v>901</v>
      </c>
      <c r="C94" t="s">
        <v>2</v>
      </c>
      <c r="D94" t="s">
        <v>902</v>
      </c>
      <c r="E94" t="s">
        <v>903</v>
      </c>
      <c r="F94" t="s">
        <v>904</v>
      </c>
      <c r="G94" t="s">
        <v>905</v>
      </c>
      <c r="H94" s="2" t="s">
        <v>906</v>
      </c>
      <c r="I94" t="s">
        <v>8</v>
      </c>
      <c r="J94" t="s">
        <v>48</v>
      </c>
      <c r="K94" t="s">
        <v>374</v>
      </c>
      <c r="L94" t="s">
        <v>37</v>
      </c>
      <c r="M94" t="s">
        <v>907</v>
      </c>
      <c r="N94" t="s">
        <v>908</v>
      </c>
      <c r="O94" s="3">
        <f>HYPERLINK(".\.\export_data\inspection_reports\80526_north east lincolnshire", ".\export_data\inspection_reports\80526_north east lincolnshire")</f>
        <v>0</v>
      </c>
      <c r="P94" t="s">
        <v>105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909</v>
      </c>
      <c r="B95" t="s">
        <v>910</v>
      </c>
      <c r="C95" t="s">
        <v>2</v>
      </c>
      <c r="D95" t="s">
        <v>911</v>
      </c>
      <c r="E95" t="s">
        <v>912</v>
      </c>
      <c r="F95" t="s">
        <v>913</v>
      </c>
      <c r="G95" t="s">
        <v>914</v>
      </c>
      <c r="H95" s="2" t="s">
        <v>915</v>
      </c>
      <c r="I95" t="s">
        <v>105</v>
      </c>
      <c r="J95" t="s">
        <v>9</v>
      </c>
      <c r="K95" t="s">
        <v>506</v>
      </c>
      <c r="L95" t="s">
        <v>916</v>
      </c>
      <c r="M95" t="s">
        <v>917</v>
      </c>
      <c r="N95" t="s">
        <v>918</v>
      </c>
      <c r="O95" s="3">
        <f>HYPERLINK(".\.\export_data\inspection_reports\80527_north lincolnshire", ".\export_data\inspection_reports\80527_north lincolnshire")</f>
        <v>0</v>
      </c>
      <c r="P95" t="s">
        <v>105</v>
      </c>
      <c r="Q95" t="s">
        <v>105</v>
      </c>
      <c r="R95" t="s">
        <v>105</v>
      </c>
      <c r="S95" t="s">
        <v>8</v>
      </c>
      <c r="T95" t="s">
        <v>28</v>
      </c>
    </row>
    <row r="96" spans="1:20">
      <c r="A96" t="s">
        <v>919</v>
      </c>
      <c r="B96" t="s">
        <v>920</v>
      </c>
      <c r="C96" t="s">
        <v>306</v>
      </c>
      <c r="D96" t="s">
        <v>921</v>
      </c>
      <c r="E96" t="s">
        <v>922</v>
      </c>
      <c r="F96" t="s">
        <v>923</v>
      </c>
      <c r="G96" t="s">
        <v>924</v>
      </c>
      <c r="H96" s="2" t="s">
        <v>925</v>
      </c>
      <c r="I96" t="s">
        <v>14</v>
      </c>
      <c r="J96" t="s">
        <v>48</v>
      </c>
      <c r="K96" t="s">
        <v>202</v>
      </c>
      <c r="L96" t="s">
        <v>926</v>
      </c>
      <c r="M96" t="s">
        <v>927</v>
      </c>
      <c r="N96" t="s">
        <v>928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77</v>
      </c>
      <c r="T96" t="s">
        <v>28</v>
      </c>
    </row>
    <row r="97" spans="1:20">
      <c r="A97" t="s">
        <v>929</v>
      </c>
      <c r="B97" t="s">
        <v>930</v>
      </c>
      <c r="C97" t="s">
        <v>18</v>
      </c>
      <c r="D97" t="s">
        <v>931</v>
      </c>
      <c r="E97" t="s">
        <v>932</v>
      </c>
      <c r="F97" t="s">
        <v>933</v>
      </c>
      <c r="G97" t="s">
        <v>934</v>
      </c>
      <c r="H97" s="2" t="s">
        <v>935</v>
      </c>
      <c r="I97" t="s">
        <v>14</v>
      </c>
      <c r="J97" t="s">
        <v>48</v>
      </c>
      <c r="K97" t="s">
        <v>10</v>
      </c>
      <c r="L97" t="s">
        <v>572</v>
      </c>
      <c r="M97" t="s">
        <v>573</v>
      </c>
      <c r="N97" t="s">
        <v>936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937</v>
      </c>
      <c r="B98" t="s">
        <v>938</v>
      </c>
      <c r="C98" t="s">
        <v>295</v>
      </c>
      <c r="D98" t="s">
        <v>939</v>
      </c>
      <c r="E98" t="s">
        <v>940</v>
      </c>
      <c r="F98" t="s">
        <v>941</v>
      </c>
      <c r="G98" t="s">
        <v>942</v>
      </c>
      <c r="H98" s="2" t="s">
        <v>943</v>
      </c>
      <c r="I98" t="s">
        <v>105</v>
      </c>
      <c r="J98" t="s">
        <v>9</v>
      </c>
      <c r="K98" t="s">
        <v>374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105</v>
      </c>
      <c r="Q98" t="s">
        <v>105</v>
      </c>
      <c r="R98" t="s">
        <v>105</v>
      </c>
      <c r="S98" t="s">
        <v>105</v>
      </c>
      <c r="T98" t="s">
        <v>53</v>
      </c>
    </row>
    <row r="99" spans="1:20">
      <c r="A99" t="s">
        <v>944</v>
      </c>
      <c r="B99" t="s">
        <v>945</v>
      </c>
      <c r="C99" t="s">
        <v>2</v>
      </c>
      <c r="D99" t="s">
        <v>946</v>
      </c>
      <c r="E99" t="s">
        <v>947</v>
      </c>
      <c r="F99" t="s">
        <v>948</v>
      </c>
      <c r="G99" t="s">
        <v>949</v>
      </c>
      <c r="H99" s="2" t="s">
        <v>950</v>
      </c>
      <c r="I99" t="s">
        <v>105</v>
      </c>
      <c r="J99" t="s">
        <v>9</v>
      </c>
      <c r="K99" t="s">
        <v>951</v>
      </c>
      <c r="L99" t="s">
        <v>952</v>
      </c>
      <c r="M99" t="s">
        <v>953</v>
      </c>
      <c r="N99" t="s">
        <v>954</v>
      </c>
      <c r="O99" s="3">
        <f>HYPERLINK(".\.\export_data\inspection_reports\80530_north yorkshire", ".\export_data\inspection_reports\80530_north yorkshire")</f>
        <v>0</v>
      </c>
      <c r="P99" t="s">
        <v>105</v>
      </c>
      <c r="Q99" t="s">
        <v>105</v>
      </c>
      <c r="R99" t="s">
        <v>105</v>
      </c>
      <c r="S99" t="s">
        <v>105</v>
      </c>
      <c r="T99" t="s">
        <v>120</v>
      </c>
    </row>
    <row r="100" spans="1:20">
      <c r="A100" t="s">
        <v>955</v>
      </c>
      <c r="B100" t="s">
        <v>956</v>
      </c>
      <c r="C100" t="s">
        <v>295</v>
      </c>
      <c r="D100" t="s">
        <v>957</v>
      </c>
      <c r="E100" t="s">
        <v>958</v>
      </c>
      <c r="F100" t="s">
        <v>959</v>
      </c>
      <c r="G100" t="s">
        <v>960</v>
      </c>
      <c r="H100" s="2" t="s">
        <v>961</v>
      </c>
      <c r="I100" t="s">
        <v>105</v>
      </c>
      <c r="J100" t="s">
        <v>9</v>
      </c>
      <c r="K100" t="s">
        <v>962</v>
      </c>
      <c r="L100" t="s">
        <v>963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105</v>
      </c>
      <c r="Q100" t="s">
        <v>105</v>
      </c>
      <c r="R100" t="s">
        <v>8</v>
      </c>
      <c r="S100" t="s">
        <v>8</v>
      </c>
      <c r="T100" t="s">
        <v>194</v>
      </c>
    </row>
    <row r="101" spans="1:20">
      <c r="A101" t="s">
        <v>964</v>
      </c>
      <c r="B101" t="s">
        <v>965</v>
      </c>
      <c r="C101" t="s">
        <v>306</v>
      </c>
      <c r="D101" t="s">
        <v>966</v>
      </c>
      <c r="E101" t="s">
        <v>967</v>
      </c>
      <c r="F101" t="s">
        <v>968</v>
      </c>
      <c r="G101" t="s">
        <v>969</v>
      </c>
      <c r="H101" s="2" t="s">
        <v>970</v>
      </c>
      <c r="I101" t="s">
        <v>190</v>
      </c>
      <c r="J101" t="s">
        <v>117</v>
      </c>
      <c r="K101" t="s">
        <v>962</v>
      </c>
      <c r="N101" t="s">
        <v>971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194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753</v>
      </c>
      <c r="L102" t="s">
        <v>963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105</v>
      </c>
      <c r="Q102" t="s">
        <v>8</v>
      </c>
      <c r="R102" t="s">
        <v>8</v>
      </c>
      <c r="S102" t="s">
        <v>8</v>
      </c>
      <c r="T102" t="s">
        <v>78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515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99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753</v>
      </c>
      <c r="L104" t="s">
        <v>993</v>
      </c>
      <c r="M104" t="s">
        <v>162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78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190</v>
      </c>
      <c r="J105" t="s">
        <v>48</v>
      </c>
      <c r="K105" t="s">
        <v>1002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194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128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1016</v>
      </c>
      <c r="B107" t="s">
        <v>1017</v>
      </c>
      <c r="C107" t="s">
        <v>99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225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105</v>
      </c>
      <c r="R107" t="s">
        <v>8</v>
      </c>
      <c r="S107" t="s">
        <v>14</v>
      </c>
      <c r="T107" t="s">
        <v>229</v>
      </c>
    </row>
    <row r="108" spans="1:20">
      <c r="A108" t="s">
        <v>1026</v>
      </c>
      <c r="B108" t="s">
        <v>1027</v>
      </c>
      <c r="C108" t="s">
        <v>99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225</v>
      </c>
      <c r="L108" t="s">
        <v>553</v>
      </c>
      <c r="M108" t="s">
        <v>554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1033</v>
      </c>
      <c r="B109" t="s">
        <v>1034</v>
      </c>
      <c r="C109" t="s">
        <v>295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86</v>
      </c>
      <c r="L110" t="s">
        <v>470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105</v>
      </c>
      <c r="J111" t="s">
        <v>9</v>
      </c>
      <c r="K111" t="s">
        <v>213</v>
      </c>
      <c r="L111" t="s">
        <v>488</v>
      </c>
      <c r="M111" t="s">
        <v>489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105</v>
      </c>
      <c r="Q111" t="s">
        <v>105</v>
      </c>
      <c r="R111" t="s">
        <v>105</v>
      </c>
      <c r="S111" t="s">
        <v>8</v>
      </c>
      <c r="T111" t="s">
        <v>78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105</v>
      </c>
      <c r="J112" t="s">
        <v>9</v>
      </c>
      <c r="K112" t="s">
        <v>139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105</v>
      </c>
      <c r="Q112" t="s">
        <v>105</v>
      </c>
      <c r="R112" t="s">
        <v>8</v>
      </c>
      <c r="S112" t="s">
        <v>105</v>
      </c>
      <c r="T112" t="s">
        <v>143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105</v>
      </c>
      <c r="J113" t="s">
        <v>9</v>
      </c>
      <c r="K113" t="s">
        <v>753</v>
      </c>
      <c r="L113" t="s">
        <v>94</v>
      </c>
      <c r="M113" t="s">
        <v>415</v>
      </c>
      <c r="N113" t="s">
        <v>96</v>
      </c>
      <c r="O113" s="3">
        <f>HYPERLINK(".\.\export_data\inspection_reports\80545_kingston upon thames", ".\export_data\inspection_reports\80545_kingston upon thames")</f>
        <v>0</v>
      </c>
      <c r="P113" t="s">
        <v>105</v>
      </c>
      <c r="Q113" t="s">
        <v>105</v>
      </c>
      <c r="R113" t="s">
        <v>105</v>
      </c>
      <c r="S113" t="s">
        <v>105</v>
      </c>
      <c r="T113" t="s">
        <v>78</v>
      </c>
    </row>
    <row r="114" spans="1:20">
      <c r="A114" t="s">
        <v>1072</v>
      </c>
      <c r="B114" t="s">
        <v>1073</v>
      </c>
      <c r="C114" t="s">
        <v>99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290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105</v>
      </c>
      <c r="T114" t="s">
        <v>53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506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105</v>
      </c>
      <c r="Q116" t="s">
        <v>8</v>
      </c>
      <c r="R116" t="s">
        <v>8</v>
      </c>
      <c r="S116" t="s">
        <v>105</v>
      </c>
      <c r="T116" t="s">
        <v>194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608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86</v>
      </c>
      <c r="L118" t="s">
        <v>1115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506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105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105</v>
      </c>
      <c r="J120" t="s">
        <v>48</v>
      </c>
      <c r="K120" t="s">
        <v>744</v>
      </c>
      <c r="L120" t="s">
        <v>1115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105</v>
      </c>
      <c r="Q120" t="s">
        <v>105</v>
      </c>
      <c r="R120" t="s">
        <v>105</v>
      </c>
      <c r="S120" t="s">
        <v>8</v>
      </c>
      <c r="T120" t="s">
        <v>78</v>
      </c>
    </row>
    <row r="121" spans="1:20">
      <c r="A121" t="s">
        <v>1132</v>
      </c>
      <c r="B121" t="s">
        <v>1133</v>
      </c>
      <c r="C121" t="s">
        <v>99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470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1146</v>
      </c>
      <c r="L122" t="s">
        <v>488</v>
      </c>
      <c r="M122" t="s">
        <v>770</v>
      </c>
      <c r="N122" t="s">
        <v>462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120</v>
      </c>
    </row>
    <row r="123" spans="1:20">
      <c r="A123" t="s">
        <v>1147</v>
      </c>
      <c r="B123" t="s">
        <v>1148</v>
      </c>
      <c r="C123" t="s">
        <v>18</v>
      </c>
      <c r="D123" t="s">
        <v>1149</v>
      </c>
      <c r="E123" t="s">
        <v>1150</v>
      </c>
      <c r="F123" t="s">
        <v>1151</v>
      </c>
      <c r="G123" t="s">
        <v>1152</v>
      </c>
      <c r="H123" s="2" t="s">
        <v>1153</v>
      </c>
      <c r="I123" t="s">
        <v>607</v>
      </c>
      <c r="J123" t="s">
        <v>9</v>
      </c>
      <c r="K123" t="s">
        <v>202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28</v>
      </c>
    </row>
    <row r="124" spans="1:20">
      <c r="A124" t="s">
        <v>1154</v>
      </c>
      <c r="B124" t="s">
        <v>1155</v>
      </c>
      <c r="C124" t="s">
        <v>18</v>
      </c>
      <c r="D124" t="s">
        <v>1156</v>
      </c>
      <c r="E124" t="s">
        <v>1157</v>
      </c>
      <c r="F124" t="s">
        <v>1158</v>
      </c>
      <c r="G124" t="s">
        <v>1159</v>
      </c>
      <c r="H124" s="2" t="s">
        <v>1160</v>
      </c>
      <c r="I124" t="s">
        <v>8</v>
      </c>
      <c r="J124" t="s">
        <v>48</v>
      </c>
      <c r="K124" t="s">
        <v>10</v>
      </c>
      <c r="L124" t="s">
        <v>663</v>
      </c>
      <c r="M124" t="s">
        <v>442</v>
      </c>
      <c r="N124" t="s">
        <v>443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1161</v>
      </c>
      <c r="B125" t="s">
        <v>1162</v>
      </c>
      <c r="C125" t="s">
        <v>295</v>
      </c>
      <c r="D125" t="s">
        <v>1163</v>
      </c>
      <c r="E125" t="s">
        <v>1164</v>
      </c>
      <c r="F125" t="s">
        <v>1165</v>
      </c>
      <c r="G125" t="s">
        <v>1166</v>
      </c>
      <c r="H125" s="2" t="s">
        <v>1167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1168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1169</v>
      </c>
      <c r="B126" t="s">
        <v>1170</v>
      </c>
      <c r="C126" t="s">
        <v>99</v>
      </c>
      <c r="D126" t="s">
        <v>1171</v>
      </c>
      <c r="E126" t="s">
        <v>1172</v>
      </c>
      <c r="F126" t="s">
        <v>1173</v>
      </c>
      <c r="G126" t="s">
        <v>1174</v>
      </c>
      <c r="H126" s="2" t="s">
        <v>1175</v>
      </c>
      <c r="I126" t="s">
        <v>8</v>
      </c>
      <c r="J126" t="s">
        <v>48</v>
      </c>
      <c r="K126" t="s">
        <v>393</v>
      </c>
      <c r="L126" t="s">
        <v>1176</v>
      </c>
      <c r="M126" t="s">
        <v>1177</v>
      </c>
      <c r="N126" t="s">
        <v>1178</v>
      </c>
      <c r="O126" s="3">
        <f>HYPERLINK(".\.\export_data\inspection_reports\80558_southampton", ".\export_data\inspection_reports\80558_southampton")</f>
        <v>0</v>
      </c>
      <c r="P126" t="s">
        <v>105</v>
      </c>
      <c r="Q126" t="s">
        <v>8</v>
      </c>
      <c r="R126" t="s">
        <v>8</v>
      </c>
      <c r="S126" t="s">
        <v>8</v>
      </c>
      <c r="T126" t="s">
        <v>143</v>
      </c>
    </row>
    <row r="127" spans="1:20">
      <c r="A127" t="s">
        <v>1179</v>
      </c>
      <c r="B127" t="s">
        <v>1180</v>
      </c>
      <c r="C127" t="s">
        <v>31</v>
      </c>
      <c r="D127" t="s">
        <v>1181</v>
      </c>
      <c r="E127" t="s">
        <v>1182</v>
      </c>
      <c r="F127" t="s">
        <v>1183</v>
      </c>
      <c r="G127" t="s">
        <v>1184</v>
      </c>
      <c r="H127" s="2" t="s">
        <v>1185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78</v>
      </c>
    </row>
    <row r="128" spans="1:20">
      <c r="A128" t="s">
        <v>1186</v>
      </c>
      <c r="B128" t="s">
        <v>1187</v>
      </c>
      <c r="C128" t="s">
        <v>56</v>
      </c>
      <c r="D128" t="s">
        <v>1188</v>
      </c>
      <c r="E128" t="s">
        <v>1189</v>
      </c>
      <c r="F128" t="s">
        <v>1190</v>
      </c>
      <c r="G128" t="s">
        <v>1191</v>
      </c>
      <c r="H128" s="2" t="s">
        <v>1192</v>
      </c>
      <c r="I128" t="s">
        <v>8</v>
      </c>
      <c r="J128" t="s">
        <v>48</v>
      </c>
      <c r="K128" t="s">
        <v>1002</v>
      </c>
      <c r="L128" t="s">
        <v>582</v>
      </c>
      <c r="M128" t="s">
        <v>583</v>
      </c>
      <c r="N128" t="s">
        <v>584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194</v>
      </c>
    </row>
    <row r="129" spans="1:20">
      <c r="A129" t="s">
        <v>1193</v>
      </c>
      <c r="B129" t="s">
        <v>1194</v>
      </c>
      <c r="C129" t="s">
        <v>42</v>
      </c>
      <c r="D129" t="s">
        <v>1195</v>
      </c>
      <c r="E129" t="s">
        <v>1196</v>
      </c>
      <c r="F129" t="s">
        <v>1197</v>
      </c>
      <c r="G129" t="s">
        <v>1198</v>
      </c>
      <c r="H129" s="2" t="s">
        <v>1199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28</v>
      </c>
    </row>
    <row r="130" spans="1:20">
      <c r="A130" t="s">
        <v>1200</v>
      </c>
      <c r="B130" t="s">
        <v>1201</v>
      </c>
      <c r="C130" t="s">
        <v>56</v>
      </c>
      <c r="D130" t="s">
        <v>1202</v>
      </c>
      <c r="E130" t="s">
        <v>1203</v>
      </c>
      <c r="F130" t="s">
        <v>1204</v>
      </c>
      <c r="G130" t="s">
        <v>1205</v>
      </c>
      <c r="H130" s="2" t="s">
        <v>1206</v>
      </c>
      <c r="I130" t="s">
        <v>14</v>
      </c>
      <c r="J130" t="s">
        <v>48</v>
      </c>
      <c r="K130" t="s">
        <v>73</v>
      </c>
      <c r="L130" t="s">
        <v>887</v>
      </c>
      <c r="M130" t="s">
        <v>314</v>
      </c>
      <c r="N130" t="s">
        <v>1207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78</v>
      </c>
    </row>
    <row r="131" spans="1:20">
      <c r="A131" t="s">
        <v>1208</v>
      </c>
      <c r="B131" t="s">
        <v>1209</v>
      </c>
      <c r="C131" t="s">
        <v>295</v>
      </c>
      <c r="D131" t="s">
        <v>1210</v>
      </c>
      <c r="E131" t="s">
        <v>1211</v>
      </c>
      <c r="F131" t="s">
        <v>1212</v>
      </c>
      <c r="G131" t="s">
        <v>1213</v>
      </c>
      <c r="H131" s="2" t="s">
        <v>1214</v>
      </c>
      <c r="I131" t="s">
        <v>14</v>
      </c>
      <c r="J131" t="s">
        <v>48</v>
      </c>
      <c r="K131" t="s">
        <v>1215</v>
      </c>
      <c r="L131" t="s">
        <v>1216</v>
      </c>
      <c r="M131" t="s">
        <v>1217</v>
      </c>
      <c r="N131" t="s">
        <v>1218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1219</v>
      </c>
      <c r="B132" t="s">
        <v>1220</v>
      </c>
      <c r="C132" t="s">
        <v>42</v>
      </c>
      <c r="D132" t="s">
        <v>1221</v>
      </c>
      <c r="E132" t="s">
        <v>1222</v>
      </c>
      <c r="F132" t="s">
        <v>1223</v>
      </c>
      <c r="G132" t="s">
        <v>1224</v>
      </c>
      <c r="H132" s="2" t="s">
        <v>1225</v>
      </c>
      <c r="I132" t="s">
        <v>14</v>
      </c>
      <c r="J132" t="s">
        <v>48</v>
      </c>
      <c r="K132" t="s">
        <v>49</v>
      </c>
      <c r="L132" t="s">
        <v>887</v>
      </c>
      <c r="M132" t="s">
        <v>314</v>
      </c>
      <c r="N132" t="s">
        <v>1207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1226</v>
      </c>
      <c r="B133" t="s">
        <v>1227</v>
      </c>
      <c r="C133" t="s">
        <v>31</v>
      </c>
      <c r="D133" t="s">
        <v>1228</v>
      </c>
      <c r="E133" t="s">
        <v>1229</v>
      </c>
      <c r="F133" t="s">
        <v>1230</v>
      </c>
      <c r="G133" t="s">
        <v>1231</v>
      </c>
      <c r="H133" s="2" t="s">
        <v>1232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1233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1234</v>
      </c>
      <c r="B134" t="s">
        <v>1235</v>
      </c>
      <c r="C134" t="s">
        <v>295</v>
      </c>
      <c r="D134" t="s">
        <v>1236</v>
      </c>
      <c r="E134" t="s">
        <v>1237</v>
      </c>
      <c r="F134" t="s">
        <v>1238</v>
      </c>
      <c r="G134" t="s">
        <v>1239</v>
      </c>
      <c r="H134" s="2" t="s">
        <v>1240</v>
      </c>
      <c r="I134" t="s">
        <v>105</v>
      </c>
      <c r="J134" t="s">
        <v>9</v>
      </c>
      <c r="K134" t="s">
        <v>382</v>
      </c>
      <c r="L134" t="s">
        <v>140</v>
      </c>
      <c r="M134" t="s">
        <v>345</v>
      </c>
      <c r="N134" t="s">
        <v>1241</v>
      </c>
      <c r="O134" s="3">
        <f>HYPERLINK(".\.\export_data\inspection_reports\80566_sunderland", ".\export_data\inspection_reports\80566_sunderland")</f>
        <v>0</v>
      </c>
      <c r="P134" t="s">
        <v>105</v>
      </c>
      <c r="Q134" t="s">
        <v>105</v>
      </c>
      <c r="R134" t="s">
        <v>105</v>
      </c>
      <c r="S134" t="s">
        <v>8</v>
      </c>
      <c r="T134" t="s">
        <v>78</v>
      </c>
    </row>
    <row r="135" spans="1:20">
      <c r="A135" t="s">
        <v>1242</v>
      </c>
      <c r="B135" t="s">
        <v>1243</v>
      </c>
      <c r="C135" t="s">
        <v>99</v>
      </c>
      <c r="D135" t="s">
        <v>1244</v>
      </c>
      <c r="E135" t="s">
        <v>1245</v>
      </c>
      <c r="F135" t="s">
        <v>1246</v>
      </c>
      <c r="G135" t="s">
        <v>1247</v>
      </c>
      <c r="H135" s="2" t="s">
        <v>1248</v>
      </c>
      <c r="I135" t="s">
        <v>8</v>
      </c>
      <c r="J135" t="s">
        <v>48</v>
      </c>
      <c r="K135" t="s">
        <v>506</v>
      </c>
      <c r="L135" t="s">
        <v>354</v>
      </c>
      <c r="M135" t="s">
        <v>238</v>
      </c>
      <c r="N135" t="s">
        <v>356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1249</v>
      </c>
      <c r="B136" t="s">
        <v>1250</v>
      </c>
      <c r="C136" t="s">
        <v>18</v>
      </c>
      <c r="D136" t="s">
        <v>1251</v>
      </c>
      <c r="E136" t="s">
        <v>1252</v>
      </c>
      <c r="F136" t="s">
        <v>1253</v>
      </c>
      <c r="G136" t="s">
        <v>1254</v>
      </c>
      <c r="H136" s="2" t="s">
        <v>1255</v>
      </c>
      <c r="I136" t="s">
        <v>190</v>
      </c>
      <c r="J136" t="s">
        <v>48</v>
      </c>
      <c r="K136" t="s">
        <v>139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143</v>
      </c>
    </row>
    <row r="137" spans="1:20">
      <c r="A137" t="s">
        <v>1256</v>
      </c>
      <c r="B137" t="s">
        <v>1257</v>
      </c>
      <c r="C137" t="s">
        <v>56</v>
      </c>
      <c r="D137" t="s">
        <v>1258</v>
      </c>
      <c r="E137" t="s">
        <v>1259</v>
      </c>
      <c r="F137" t="s">
        <v>1260</v>
      </c>
      <c r="G137" t="s">
        <v>1261</v>
      </c>
      <c r="H137" s="2" t="s">
        <v>1262</v>
      </c>
      <c r="I137" t="s">
        <v>190</v>
      </c>
      <c r="J137" t="s">
        <v>48</v>
      </c>
      <c r="K137" t="s">
        <v>117</v>
      </c>
      <c r="L137" t="s">
        <v>754</v>
      </c>
      <c r="M137" t="s">
        <v>395</v>
      </c>
      <c r="N137" t="s">
        <v>1263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336</v>
      </c>
    </row>
    <row r="138" spans="1:20">
      <c r="A138" t="s">
        <v>1264</v>
      </c>
      <c r="B138" t="s">
        <v>1265</v>
      </c>
      <c r="C138" t="s">
        <v>42</v>
      </c>
      <c r="D138" t="s">
        <v>1266</v>
      </c>
      <c r="E138" t="s">
        <v>1267</v>
      </c>
      <c r="F138" t="s">
        <v>1268</v>
      </c>
      <c r="G138" t="s">
        <v>1269</v>
      </c>
      <c r="H138" s="2" t="s">
        <v>1270</v>
      </c>
      <c r="I138" t="s">
        <v>105</v>
      </c>
      <c r="J138" t="s">
        <v>9</v>
      </c>
      <c r="K138" t="s">
        <v>180</v>
      </c>
      <c r="L138" t="s">
        <v>1271</v>
      </c>
      <c r="M138" t="s">
        <v>554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105</v>
      </c>
      <c r="Q138" t="s">
        <v>8</v>
      </c>
      <c r="R138" t="s">
        <v>105</v>
      </c>
      <c r="S138" t="s">
        <v>105</v>
      </c>
      <c r="T138" t="s">
        <v>53</v>
      </c>
    </row>
    <row r="139" spans="1:20">
      <c r="A139" t="s">
        <v>1272</v>
      </c>
      <c r="B139" t="s">
        <v>1273</v>
      </c>
      <c r="C139" t="s">
        <v>31</v>
      </c>
      <c r="D139" t="s">
        <v>1274</v>
      </c>
      <c r="E139" t="s">
        <v>1275</v>
      </c>
      <c r="F139" t="s">
        <v>1276</v>
      </c>
      <c r="G139" t="s">
        <v>1277</v>
      </c>
      <c r="H139" s="2" t="s">
        <v>1278</v>
      </c>
      <c r="I139" t="s">
        <v>105</v>
      </c>
      <c r="J139" t="s">
        <v>9</v>
      </c>
      <c r="K139" t="s">
        <v>506</v>
      </c>
      <c r="L139" t="s">
        <v>1279</v>
      </c>
      <c r="M139" t="s">
        <v>1280</v>
      </c>
      <c r="N139" t="s">
        <v>1281</v>
      </c>
      <c r="O139" s="3">
        <f>HYPERLINK(".\.\export_data\inspection_reports\80571_thurrock", ".\export_data\inspection_reports\80571_thurrock")</f>
        <v>0</v>
      </c>
      <c r="P139" t="s">
        <v>105</v>
      </c>
      <c r="Q139" t="s">
        <v>105</v>
      </c>
      <c r="R139" t="s">
        <v>105</v>
      </c>
      <c r="S139" t="s">
        <v>105</v>
      </c>
      <c r="T139" t="s">
        <v>28</v>
      </c>
    </row>
    <row r="140" spans="1:20">
      <c r="A140" t="s">
        <v>1282</v>
      </c>
      <c r="B140" t="s">
        <v>1283</v>
      </c>
      <c r="C140" t="s">
        <v>18</v>
      </c>
      <c r="D140" t="s">
        <v>1284</v>
      </c>
      <c r="E140" t="s">
        <v>1285</v>
      </c>
      <c r="F140" t="s">
        <v>1286</v>
      </c>
      <c r="G140" t="s">
        <v>1287</v>
      </c>
      <c r="H140" s="2" t="s">
        <v>1288</v>
      </c>
      <c r="I140" t="s">
        <v>8</v>
      </c>
      <c r="J140" t="s">
        <v>9</v>
      </c>
      <c r="K140" t="s">
        <v>487</v>
      </c>
      <c r="L140" t="s">
        <v>214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194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139</v>
      </c>
      <c r="L141" t="s">
        <v>1296</v>
      </c>
      <c r="M141" t="s">
        <v>1297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143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105</v>
      </c>
      <c r="J142" t="s">
        <v>9</v>
      </c>
      <c r="K142" t="s">
        <v>139</v>
      </c>
      <c r="L142" t="s">
        <v>887</v>
      </c>
      <c r="M142" t="s">
        <v>888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105</v>
      </c>
      <c r="Q142" t="s">
        <v>8</v>
      </c>
      <c r="R142" t="s">
        <v>105</v>
      </c>
      <c r="S142" t="s">
        <v>8</v>
      </c>
      <c r="T142" t="s">
        <v>143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86</v>
      </c>
      <c r="L143" t="s">
        <v>441</v>
      </c>
      <c r="M143" t="s">
        <v>442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105</v>
      </c>
      <c r="Q143" t="s">
        <v>8</v>
      </c>
      <c r="R143" t="s">
        <v>105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1324</v>
      </c>
      <c r="B145" t="s">
        <v>1325</v>
      </c>
      <c r="C145" t="s">
        <v>99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897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194</v>
      </c>
    </row>
    <row r="146" spans="1:20">
      <c r="A146" t="s">
        <v>1334</v>
      </c>
      <c r="B146" t="s">
        <v>1335</v>
      </c>
      <c r="C146" t="s">
        <v>306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14</v>
      </c>
      <c r="J146" t="s">
        <v>48</v>
      </c>
      <c r="K146" t="s">
        <v>202</v>
      </c>
      <c r="L146" t="s">
        <v>926</v>
      </c>
      <c r="M146" t="s">
        <v>927</v>
      </c>
      <c r="N146" t="s">
        <v>928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77</v>
      </c>
      <c r="T146" t="s">
        <v>28</v>
      </c>
    </row>
    <row r="147" spans="1:20">
      <c r="A147" t="s">
        <v>1341</v>
      </c>
      <c r="B147" t="s">
        <v>1342</v>
      </c>
      <c r="C147" t="s">
        <v>99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572</v>
      </c>
      <c r="M147" t="s">
        <v>573</v>
      </c>
      <c r="N147" t="s">
        <v>936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285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553</v>
      </c>
      <c r="M148" t="s">
        <v>554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194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744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105</v>
      </c>
      <c r="S149" t="s">
        <v>105</v>
      </c>
      <c r="T149" t="s">
        <v>78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105</v>
      </c>
      <c r="J150" t="s">
        <v>9</v>
      </c>
      <c r="K150" t="s">
        <v>404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105</v>
      </c>
      <c r="Q150" t="s">
        <v>8</v>
      </c>
      <c r="R150" t="s">
        <v>105</v>
      </c>
      <c r="S150" t="s">
        <v>105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191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194</v>
      </c>
    </row>
    <row r="152" spans="1:20">
      <c r="A152" t="s">
        <v>1384</v>
      </c>
      <c r="B152" t="s">
        <v>1385</v>
      </c>
      <c r="C152" t="s">
        <v>99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393</v>
      </c>
      <c r="L152" t="s">
        <v>1216</v>
      </c>
      <c r="M152" t="s">
        <v>1217</v>
      </c>
      <c r="N152" t="s">
        <v>1218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143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202</v>
      </c>
      <c r="L153" t="s">
        <v>1398</v>
      </c>
      <c r="M153" t="s">
        <v>842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105</v>
      </c>
      <c r="S153" t="s">
        <v>105</v>
      </c>
      <c r="T153" t="s">
        <v>28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180</v>
      </c>
      <c r="L154" t="s">
        <v>1023</v>
      </c>
      <c r="M154" t="s">
        <v>1407</v>
      </c>
      <c r="N154" t="s">
        <v>1408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2026-07-06T06:36:36Z</dcterms:created>
  <dcterms:modified xsi:type="dcterms:W3CDTF">2026-07-06T06:36:36Z</dcterms:modified>
</cp:coreProperties>
</file>